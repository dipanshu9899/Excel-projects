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94AB0F0-9A7A-49B5-B78F-B0FAB3390CA2}" xr6:coauthVersionLast="47" xr6:coauthVersionMax="47" xr10:uidLastSave="{00000000-0000-0000-0000-000000000000}"/>
  <bookViews>
    <workbookView xWindow="-110" yWindow="-110" windowWidth="19420" windowHeight="10420" tabRatio="860" firstSheet="3" activeTab="10" xr2:uid="{00000000-000D-0000-FFFF-FFFF00000000}"/>
  </bookViews>
  <sheets>
    <sheet name="Sheet1" sheetId="16" r:id="rId1"/>
    <sheet name="Sales report" sheetId="13" r:id="rId2"/>
    <sheet name="Charts_Basic" sheetId="14" r:id="rId3"/>
    <sheet name="Column Chart" sheetId="5" r:id="rId4"/>
    <sheet name="Bar Chart" sheetId="6" r:id="rId5"/>
    <sheet name="Line chart" sheetId="7" r:id="rId6"/>
    <sheet name="Pie Chart" sheetId="8" r:id="rId7"/>
    <sheet name="Roads" sheetId="1" r:id="rId8"/>
    <sheet name="Exchange Rates" sheetId="3" r:id="rId9"/>
    <sheet name="Sheet3" sheetId="18" r:id="rId10"/>
    <sheet name="Practice" sheetId="15" r:id="rId11"/>
  </sheets>
  <definedNames>
    <definedName name="_xlnm._FilterDatabase" localSheetId="1" hidden="1">'Sales report'!$G$1:$L$506</definedName>
    <definedName name="Amt" localSheetId="1">#REF!</definedName>
    <definedName name="Amt">#REF!</definedName>
    <definedName name="Cat" localSheetId="1">#REF!</definedName>
    <definedName name="Cat">#REF!</definedName>
    <definedName name="item_list" localSheetId="1">#REF!</definedName>
    <definedName name="item_list">#REF!</definedName>
    <definedName name="List1" localSheetId="1">OFFSET(#REF!,0,0,COUNTA(#REF!),1)</definedName>
    <definedName name="List1">OFFSET(#REF!,0,0,COUNTA(#REF!),1)</definedName>
    <definedName name="List2" localSheetId="1">#REF!:INDEX(#REF!,COUNTA(#REF!))</definedName>
    <definedName name="List2">#REF!:INDEX(#REF!,COUNTA(#REF!))</definedName>
    <definedName name="No._of_Trades" localSheetId="1">#REF!:INDEX(#REF!,COUNTA(#REF!))</definedName>
    <definedName name="No._of_Trades">#REF!:INDEX(#REF!,COUNTA(#REF!))</definedName>
    <definedName name="No.ofsharestraded" localSheetId="1">#REF!</definedName>
    <definedName name="No.ofsharestraded">#REF!</definedName>
    <definedName name="Salesquarter1">#REF!</definedName>
    <definedName name="Sharesheet" localSheetId="1">OFFSET(#REF!,,,COUNTA(#REF!),COUNTA(#REF!))</definedName>
    <definedName name="Sharesheet">OFFSET(#REF!,,,COUNTA(#REF!),COUNTA(#REF!))</definedName>
    <definedName name="Traded_Contract__Lots" localSheetId="1">OFFSET(#REF!,0,0,COUNTA(#REF!),1)</definedName>
    <definedName name="Traded_Contract__Lots">OFFSET(#REF!,0,0,COUNTA(#REF!),1)</definedName>
    <definedName name="X" localSheetId="1">OFFSET(#REF!,0,0,COUNTA(#REF!),1)</definedName>
    <definedName name="X">OFFSET(#REF!,0,0,COUNTA(#REF!),1)</definedName>
  </definedNames>
  <calcPr calcId="191029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2" i="15"/>
  <c r="C10" i="8"/>
</calcChain>
</file>

<file path=xl/sharedStrings.xml><?xml version="1.0" encoding="utf-8"?>
<sst xmlns="http://schemas.openxmlformats.org/spreadsheetml/2006/main" count="390" uniqueCount="254">
  <si>
    <t xml:space="preserve">Year </t>
  </si>
  <si>
    <t>National Highways Length (Kms)</t>
  </si>
  <si>
    <t>State highways Length (Kms)</t>
  </si>
  <si>
    <t>Urban Roads Length (Kms)</t>
  </si>
  <si>
    <t>Year</t>
  </si>
  <si>
    <t>US Dollar</t>
  </si>
  <si>
    <t>Pound Sterling</t>
  </si>
  <si>
    <t>Euro</t>
  </si>
  <si>
    <t>Yen</t>
  </si>
  <si>
    <t>Canadian Dollar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</si>
  <si>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</si>
  <si>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</si>
  <si>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</si>
  <si>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</si>
  <si>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</si>
  <si>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</si>
  <si>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</si>
  <si>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</si>
  <si>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</si>
  <si>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</si>
  <si>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</si>
  <si>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</si>
  <si>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</si>
  <si>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</si>
  <si>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</si>
  <si>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Exchange rate of rupee versus other Currencies</t>
  </si>
  <si>
    <t>Charts and Graphs enables the user to present the data in visual format.</t>
  </si>
  <si>
    <t>Column Chart</t>
  </si>
  <si>
    <t>Bar Chart</t>
  </si>
  <si>
    <t>Pie Chart</t>
  </si>
  <si>
    <t xml:space="preserve">Column Chart illustrates comparision among individual items. </t>
  </si>
  <si>
    <t xml:space="preserve">The category of the items are arranged on X axis and their values are arranged on Y axis. </t>
  </si>
  <si>
    <t>The data below shows the length of different types of road built over the years</t>
  </si>
  <si>
    <t>on column chart it can be represented in the following way.</t>
  </si>
  <si>
    <t>Bar Chart is just a flip over of a column chart.</t>
  </si>
  <si>
    <t>Similar to a column chart, it also illutrates the comparision among individual items.</t>
  </si>
  <si>
    <t>The categories are arranged along the vertical axis and Values are arranged along the horizontal axis.</t>
  </si>
  <si>
    <t>On bar Chart this data can be represented as</t>
  </si>
  <si>
    <t>Line Chart</t>
  </si>
  <si>
    <t>Line charts are used to represent the continuos data over time on an evenly scaled axis.</t>
  </si>
  <si>
    <t>Line charts are ideal for showing trends in data at equal intervals.</t>
  </si>
  <si>
    <t>NDA</t>
  </si>
  <si>
    <t>UPA</t>
  </si>
  <si>
    <t>Others</t>
  </si>
  <si>
    <t>Election Result 2014</t>
  </si>
  <si>
    <t>It is easy to understand the information when data is presented in a pictorial form.</t>
  </si>
  <si>
    <t>National Highway</t>
  </si>
  <si>
    <t>State highway</t>
  </si>
  <si>
    <t>Urban Road</t>
  </si>
  <si>
    <t xml:space="preserve">Total </t>
  </si>
  <si>
    <t>The following is the representation of the above data on the Line bar.</t>
  </si>
  <si>
    <t xml:space="preserve">Pie Chart shows the size of item proportional to the sum of all the items. </t>
  </si>
  <si>
    <t xml:space="preserve"> The data points in a pie chart are shown as a percentage of whole pie.</t>
  </si>
  <si>
    <t>Pound
Sterling</t>
  </si>
  <si>
    <t>Q1. Using the given data prepare a bar chart and a column chart for the year 2005 till 2010</t>
  </si>
  <si>
    <t>Present the given data in the line chart.</t>
  </si>
  <si>
    <t>Row ID</t>
  </si>
  <si>
    <t>Order ID</t>
  </si>
  <si>
    <t>Customer ID</t>
  </si>
  <si>
    <t>Customer Name</t>
  </si>
  <si>
    <t>Segment</t>
  </si>
  <si>
    <t>City</t>
  </si>
  <si>
    <t>State</t>
  </si>
  <si>
    <t>Category</t>
  </si>
  <si>
    <t>Sales</t>
  </si>
  <si>
    <t>Quantity</t>
  </si>
  <si>
    <t>Discount</t>
  </si>
  <si>
    <t>Profit</t>
  </si>
  <si>
    <t>CA-2016-130946</t>
  </si>
  <si>
    <t>ZC-21910</t>
  </si>
  <si>
    <t>Zuschuss Carroll</t>
  </si>
  <si>
    <t>Consumer</t>
  </si>
  <si>
    <t>Houston</t>
  </si>
  <si>
    <t>Texas</t>
  </si>
  <si>
    <t>Office Supplies</t>
  </si>
  <si>
    <t>US-2015-103471</t>
  </si>
  <si>
    <t>JR-15670</t>
  </si>
  <si>
    <t>Jim Radford</t>
  </si>
  <si>
    <t>Colorado Springs</t>
  </si>
  <si>
    <t>Colorado</t>
  </si>
  <si>
    <t>Furniture</t>
  </si>
  <si>
    <t>US-2017-117247</t>
  </si>
  <si>
    <t>CK-12760</t>
  </si>
  <si>
    <t>Cyma Kinney</t>
  </si>
  <si>
    <t>Corporate</t>
  </si>
  <si>
    <t>Aurora</t>
  </si>
  <si>
    <t>Illinois</t>
  </si>
  <si>
    <t>US-2017-118087</t>
  </si>
  <si>
    <t>SP-20620</t>
  </si>
  <si>
    <t>Stefania Perrino</t>
  </si>
  <si>
    <t>Philadelphia</t>
  </si>
  <si>
    <t>Pennsylvania</t>
  </si>
  <si>
    <t>Technology</t>
  </si>
  <si>
    <t>CA-2015-139731</t>
  </si>
  <si>
    <t>JE-15745</t>
  </si>
  <si>
    <t>Joel Eaton</t>
  </si>
  <si>
    <t>Amarillo</t>
  </si>
  <si>
    <t>CA-2015-124891</t>
  </si>
  <si>
    <t>RH-19495</t>
  </si>
  <si>
    <t>Rick Hansen</t>
  </si>
  <si>
    <t>New York City</t>
  </si>
  <si>
    <t>New York</t>
  </si>
  <si>
    <t>US-2016-143819</t>
  </si>
  <si>
    <t>KD-16270</t>
  </si>
  <si>
    <t>Karen Daniels</t>
  </si>
  <si>
    <t>Yonkers</t>
  </si>
  <si>
    <t>US-2016-122245</t>
  </si>
  <si>
    <t>AB-10105</t>
  </si>
  <si>
    <t>Adrian Barton</t>
  </si>
  <si>
    <t>Phoenix</t>
  </si>
  <si>
    <t>Arizona</t>
  </si>
  <si>
    <t>CA-2017-115651</t>
  </si>
  <si>
    <t>NS-18640</t>
  </si>
  <si>
    <t>Noel Staavos</t>
  </si>
  <si>
    <t>Chicago</t>
  </si>
  <si>
    <t>US-2017-155425</t>
  </si>
  <si>
    <t>AB-10600</t>
  </si>
  <si>
    <t>Ann Blume</t>
  </si>
  <si>
    <t>Tucson</t>
  </si>
  <si>
    <t>US-2016-103646</t>
  </si>
  <si>
    <t>SP-20545</t>
  </si>
  <si>
    <t>Sibella Parks</t>
  </si>
  <si>
    <t>US-2016-100566</t>
  </si>
  <si>
    <t>JK-16120</t>
  </si>
  <si>
    <t>Julie Kriz</t>
  </si>
  <si>
    <t>Home Office</t>
  </si>
  <si>
    <t>CA-2016-119186</t>
  </si>
  <si>
    <t>MS-17710</t>
  </si>
  <si>
    <t>Maurice Satty</t>
  </si>
  <si>
    <t>Fort Worth</t>
  </si>
  <si>
    <t>CA-2017-102337</t>
  </si>
  <si>
    <t>SD-20485</t>
  </si>
  <si>
    <t>Shirley Daniels</t>
  </si>
  <si>
    <t>CA-2015-124800</t>
  </si>
  <si>
    <t>RW-19540</t>
  </si>
  <si>
    <t>Rick Wilson</t>
  </si>
  <si>
    <t>Mesa</t>
  </si>
  <si>
    <t>CA-2014-153976</t>
  </si>
  <si>
    <t>BP-11290</t>
  </si>
  <si>
    <t>Beth Paige</t>
  </si>
  <si>
    <t>Evanston</t>
  </si>
  <si>
    <t>US-2016-161396</t>
  </si>
  <si>
    <t>GM-14455</t>
  </si>
  <si>
    <t>Gary Mitchum</t>
  </si>
  <si>
    <t>Columbus</t>
  </si>
  <si>
    <t>Ohio</t>
  </si>
  <si>
    <t>CA-2017-125199</t>
  </si>
  <si>
    <t>HM-14860</t>
  </si>
  <si>
    <t>Harry Marie</t>
  </si>
  <si>
    <t>US-2016-168620</t>
  </si>
  <si>
    <t>RB-19795</t>
  </si>
  <si>
    <t>Ross Baird</t>
  </si>
  <si>
    <t>Charlotte</t>
  </si>
  <si>
    <t>North Carolina</t>
  </si>
  <si>
    <t>CA-2015-161263</t>
  </si>
  <si>
    <t>TS-21160</t>
  </si>
  <si>
    <t>Theresa Swint</t>
  </si>
  <si>
    <t>Toledo</t>
  </si>
  <si>
    <t>US-2014-160444</t>
  </si>
  <si>
    <t>DC-12850</t>
  </si>
  <si>
    <t>Dan Campbell</t>
  </si>
  <si>
    <t>CA-2017-122700</t>
  </si>
  <si>
    <t>LT-17110</t>
  </si>
  <si>
    <t>Liz Thompson</t>
  </si>
  <si>
    <t>US-2014-118486</t>
  </si>
  <si>
    <t>1. Learning Objectives</t>
  </si>
  <si>
    <t>By the end of the lesson, learners should be able to:</t>
  </si>
  <si>
    <t>Understand the purpose and types of charts in Excel.</t>
  </si>
  <si>
    <t>Create, format, and modify charts using Excel tools.</t>
  </si>
  <si>
    <t>Choose appropriate chart types for different data sets.</t>
  </si>
  <si>
    <t>Interpret chart elements and use them for data-driven decisions.</t>
  </si>
  <si>
    <t>Charts are visual representations of data.</t>
  </si>
  <si>
    <t>They help identify patterns, trends, and comparisons quickly.</t>
  </si>
  <si>
    <t>Excel offers various chart types suited for different kinds of data.</t>
  </si>
  <si>
    <t>4. Excel inserts the chart into the worksheet.</t>
  </si>
  <si>
    <t>Use contrasting colors for clarity.</t>
  </si>
  <si>
    <t>Avoid clutter—only include necessary elements.</t>
  </si>
  <si>
    <t>Use consistent scales and units.</t>
  </si>
  <si>
    <t>Resize and reposition chart elements for readability.</t>
  </si>
  <si>
    <t>Right-click on any chart element to format or edit.</t>
  </si>
  <si>
    <t>Would you like a printable worksheet or a digital reference sheet for students? I can also help you design a bilingual version in Hindi and English if needed.</t>
  </si>
  <si>
    <t>Area Chart</t>
  </si>
  <si>
    <t>Scatter Plot</t>
  </si>
  <si>
    <t>Combo Chart</t>
  </si>
  <si>
    <r>
      <t xml:space="preserve">📊 </t>
    </r>
    <r>
      <rPr>
        <b/>
        <sz val="12"/>
        <color theme="1"/>
        <rFont val="Verdana"/>
        <family val="2"/>
      </rPr>
      <t>2. Introduction to Charts</t>
    </r>
  </si>
  <si>
    <r>
      <t xml:space="preserve">📈 </t>
    </r>
    <r>
      <rPr>
        <b/>
        <sz val="12"/>
        <color theme="1"/>
        <rFont val="Verdana"/>
        <family val="2"/>
      </rPr>
      <t>3. Types of Charts in Excel</t>
    </r>
  </si>
  <si>
    <r>
      <t xml:space="preserve">🛠️ </t>
    </r>
    <r>
      <rPr>
        <b/>
        <sz val="12"/>
        <color theme="1"/>
        <rFont val="Verdana"/>
        <family val="2"/>
      </rPr>
      <t>4. Steps to Create a Chart</t>
    </r>
  </si>
  <si>
    <r>
      <t>1. Select your data</t>
    </r>
    <r>
      <rPr>
        <sz val="12"/>
        <color theme="1"/>
        <rFont val="Verdana"/>
        <family val="2"/>
      </rPr>
      <t xml:space="preserve"> (include headers).</t>
    </r>
  </si>
  <si>
    <r>
      <t xml:space="preserve">2. Go to the </t>
    </r>
    <r>
      <rPr>
        <b/>
        <sz val="12"/>
        <color theme="1"/>
        <rFont val="Verdana"/>
        <family val="2"/>
      </rPr>
      <t>Insert</t>
    </r>
    <r>
      <rPr>
        <sz val="12"/>
        <color theme="1"/>
        <rFont val="Verdana"/>
        <family val="2"/>
      </rPr>
      <t xml:space="preserve"> tab.</t>
    </r>
  </si>
  <si>
    <r>
      <t xml:space="preserve">3. Choose a chart type from the </t>
    </r>
    <r>
      <rPr>
        <b/>
        <sz val="12"/>
        <color theme="1"/>
        <rFont val="Verdana"/>
        <family val="2"/>
      </rPr>
      <t>Charts group</t>
    </r>
    <r>
      <rPr>
        <sz val="12"/>
        <color theme="1"/>
        <rFont val="Verdana"/>
        <family val="2"/>
      </rPr>
      <t>.</t>
    </r>
  </si>
  <si>
    <r>
      <t xml:space="preserve">5. Use the </t>
    </r>
    <r>
      <rPr>
        <b/>
        <sz val="12"/>
        <color theme="1"/>
        <rFont val="Verdana"/>
        <family val="2"/>
      </rPr>
      <t>Chart Design</t>
    </r>
    <r>
      <rPr>
        <sz val="12"/>
        <color theme="1"/>
        <rFont val="Verdana"/>
        <family val="2"/>
      </rPr>
      <t xml:space="preserve"> and </t>
    </r>
    <r>
      <rPr>
        <b/>
        <sz val="12"/>
        <color theme="1"/>
        <rFont val="Verdana"/>
        <family val="2"/>
      </rPr>
      <t>Format</t>
    </r>
    <r>
      <rPr>
        <sz val="12"/>
        <color theme="1"/>
        <rFont val="Verdana"/>
        <family val="2"/>
      </rPr>
      <t xml:space="preserve"> tabs to customize.</t>
    </r>
  </si>
  <si>
    <r>
      <t xml:space="preserve">🎨 </t>
    </r>
    <r>
      <rPr>
        <b/>
        <sz val="12"/>
        <color theme="1"/>
        <rFont val="Verdana"/>
        <family val="2"/>
      </rPr>
      <t>5. Key Chart Elements</t>
    </r>
  </si>
  <si>
    <r>
      <t>Chart Title</t>
    </r>
    <r>
      <rPr>
        <sz val="12"/>
        <color theme="1"/>
        <rFont val="Verdana"/>
        <family val="2"/>
      </rPr>
      <t>: Describes what the chart shows.</t>
    </r>
  </si>
  <si>
    <r>
      <t>Axis Titles</t>
    </r>
    <r>
      <rPr>
        <sz val="12"/>
        <color theme="1"/>
        <rFont val="Verdana"/>
        <family val="2"/>
      </rPr>
      <t>: Labels for X and Y axes.</t>
    </r>
  </si>
  <si>
    <r>
      <t>Legend</t>
    </r>
    <r>
      <rPr>
        <sz val="12"/>
        <color theme="1"/>
        <rFont val="Verdana"/>
        <family val="2"/>
      </rPr>
      <t>: Explains colors or symbols used.</t>
    </r>
  </si>
  <si>
    <r>
      <t>Data Labels</t>
    </r>
    <r>
      <rPr>
        <sz val="12"/>
        <color theme="1"/>
        <rFont val="Verdana"/>
        <family val="2"/>
      </rPr>
      <t>: Show exact values on the chart.</t>
    </r>
  </si>
  <si>
    <r>
      <t>Gridlines</t>
    </r>
    <r>
      <rPr>
        <sz val="12"/>
        <color theme="1"/>
        <rFont val="Verdana"/>
        <family val="2"/>
      </rPr>
      <t>: Help read values more precisely.</t>
    </r>
  </si>
  <si>
    <r>
      <t>Plot Area</t>
    </r>
    <r>
      <rPr>
        <sz val="12"/>
        <color theme="1"/>
        <rFont val="Verdana"/>
        <family val="2"/>
      </rPr>
      <t>: The actual chart space.</t>
    </r>
  </si>
  <si>
    <r>
      <t xml:space="preserve">🧩 </t>
    </r>
    <r>
      <rPr>
        <b/>
        <sz val="12"/>
        <color theme="1"/>
        <rFont val="Verdana"/>
        <family val="2"/>
      </rPr>
      <t>6. Formatting Tips</t>
    </r>
  </si>
  <si>
    <r>
      <t xml:space="preserve">🔄 </t>
    </r>
    <r>
      <rPr>
        <b/>
        <sz val="12"/>
        <color theme="1"/>
        <rFont val="Verdana"/>
        <family val="2"/>
      </rPr>
      <t>7. Modifying Charts</t>
    </r>
  </si>
  <si>
    <r>
      <t xml:space="preserve">Use </t>
    </r>
    <r>
      <rPr>
        <b/>
        <sz val="12"/>
        <color theme="1"/>
        <rFont val="Verdana"/>
        <family val="2"/>
      </rPr>
      <t>Chart Filters</t>
    </r>
    <r>
      <rPr>
        <sz val="12"/>
        <color theme="1"/>
        <rFont val="Verdana"/>
        <family val="2"/>
      </rPr>
      <t xml:space="preserve"> to show/hide data.</t>
    </r>
  </si>
  <si>
    <r>
      <t xml:space="preserve">Change chart type via </t>
    </r>
    <r>
      <rPr>
        <b/>
        <sz val="12"/>
        <color theme="1"/>
        <rFont val="Verdana"/>
        <family val="2"/>
      </rPr>
      <t>Chart Design &gt; Change Chart Type</t>
    </r>
    <r>
      <rPr>
        <sz val="12"/>
        <color theme="1"/>
        <rFont val="Verdana"/>
        <family val="2"/>
      </rPr>
      <t>.</t>
    </r>
  </si>
  <si>
    <r>
      <t xml:space="preserve">Add or remove elements using </t>
    </r>
    <r>
      <rPr>
        <b/>
        <sz val="12"/>
        <color theme="1"/>
        <rFont val="Verdana"/>
        <family val="2"/>
      </rPr>
      <t>Chart Elements (+ icon)</t>
    </r>
    <r>
      <rPr>
        <sz val="12"/>
        <color theme="1"/>
        <rFont val="Verdana"/>
        <family val="2"/>
      </rPr>
      <t>.</t>
    </r>
  </si>
  <si>
    <r>
      <t xml:space="preserve">Use this to create a </t>
    </r>
    <r>
      <rPr>
        <b/>
        <sz val="12"/>
        <color theme="1"/>
        <rFont val="Verdana"/>
        <family val="2"/>
      </rPr>
      <t>Line Chart</t>
    </r>
    <r>
      <rPr>
        <sz val="12"/>
        <color theme="1"/>
        <rFont val="Verdana"/>
        <family val="2"/>
      </rPr>
      <t xml:space="preserve"> or </t>
    </r>
    <r>
      <rPr>
        <b/>
        <sz val="12"/>
        <color theme="1"/>
        <rFont val="Verdana"/>
        <family val="2"/>
      </rPr>
      <t>Column Chart</t>
    </r>
    <r>
      <rPr>
        <sz val="12"/>
        <color theme="1"/>
        <rFont val="Verdana"/>
        <family val="2"/>
      </rPr>
      <t xml:space="preserve"> and analyze trends.</t>
    </r>
  </si>
  <si>
    <t>Jan      25000</t>
  </si>
  <si>
    <t>Feb      30000</t>
  </si>
  <si>
    <t>Mar      28000</t>
  </si>
  <si>
    <t>Apr      35000</t>
  </si>
  <si>
    <t>May      40000</t>
  </si>
  <si>
    <t>Jun      37000</t>
  </si>
  <si>
    <t>Jul      42000</t>
  </si>
  <si>
    <t>Aug      39000</t>
  </si>
  <si>
    <t>Sep      45000</t>
  </si>
  <si>
    <t>Oct      47000</t>
  </si>
  <si>
    <t>Nov      43000</t>
  </si>
  <si>
    <t>Dec      48000</t>
  </si>
  <si>
    <t>Chart-Based Practice Questions</t>
  </si>
  <si>
    <r>
      <t xml:space="preserve">1. Create a </t>
    </r>
    <r>
      <rPr>
        <b/>
        <sz val="14"/>
        <color theme="1"/>
        <rFont val="Verdana"/>
        <family val="2"/>
      </rPr>
      <t>Line Chart</t>
    </r>
    <r>
      <rPr>
        <sz val="14"/>
        <color theme="1"/>
        <rFont val="Verdana"/>
        <family val="2"/>
      </rPr>
      <t xml:space="preserve"> to show the monthly sales trend.</t>
    </r>
  </si>
  <si>
    <r>
      <t xml:space="preserve">2. Create a </t>
    </r>
    <r>
      <rPr>
        <b/>
        <sz val="14"/>
        <color theme="1"/>
        <rFont val="Verdana"/>
        <family val="2"/>
      </rPr>
      <t>Column Chart</t>
    </r>
    <r>
      <rPr>
        <sz val="14"/>
        <color theme="1"/>
        <rFont val="Verdana"/>
        <family val="2"/>
      </rPr>
      <t xml:space="preserve"> comparing sales across all months.</t>
    </r>
  </si>
  <si>
    <r>
      <t xml:space="preserve">3. Use a </t>
    </r>
    <r>
      <rPr>
        <b/>
        <sz val="14"/>
        <color theme="1"/>
        <rFont val="Verdana"/>
        <family val="2"/>
      </rPr>
      <t>Pie Chart</t>
    </r>
    <r>
      <rPr>
        <sz val="14"/>
        <color theme="1"/>
        <rFont val="Verdana"/>
        <family val="2"/>
      </rPr>
      <t xml:space="preserve"> to show the proportion of sales for the first quarter (Jan–Mar).</t>
    </r>
  </si>
  <si>
    <r>
      <t xml:space="preserve">1. Which month had the </t>
    </r>
    <r>
      <rPr>
        <b/>
        <sz val="14"/>
        <color theme="1"/>
        <rFont val="Verdana"/>
        <family val="2"/>
      </rPr>
      <t>highest sales</t>
    </r>
    <r>
      <rPr>
        <sz val="14"/>
        <color theme="1"/>
        <rFont val="Verdana"/>
        <family val="2"/>
      </rPr>
      <t>? Identify it using the chart.</t>
    </r>
  </si>
  <si>
    <r>
      <t xml:space="preserve">2. Which months had </t>
    </r>
    <r>
      <rPr>
        <b/>
        <sz val="14"/>
        <color theme="1"/>
        <rFont val="Verdana"/>
        <family val="2"/>
      </rPr>
      <t>sales below ₹35,000</t>
    </r>
    <r>
      <rPr>
        <sz val="14"/>
        <color theme="1"/>
        <rFont val="Verdana"/>
        <family val="2"/>
      </rPr>
      <t>? Highlight them on the chart.</t>
    </r>
  </si>
  <si>
    <r>
      <t xml:space="preserve">3. What is the </t>
    </r>
    <r>
      <rPr>
        <b/>
        <sz val="14"/>
        <color theme="1"/>
        <rFont val="Verdana"/>
        <family val="2"/>
      </rPr>
      <t>overall trend</t>
    </r>
    <r>
      <rPr>
        <sz val="14"/>
        <color theme="1"/>
        <rFont val="Verdana"/>
        <family val="2"/>
      </rPr>
      <t xml:space="preserve"> in sales from Jan to Dec?</t>
    </r>
  </si>
  <si>
    <r>
      <t xml:space="preserve">1. Add a </t>
    </r>
    <r>
      <rPr>
        <b/>
        <sz val="14"/>
        <color theme="1"/>
        <rFont val="Verdana"/>
        <family val="2"/>
      </rPr>
      <t>Chart Title</t>
    </r>
    <r>
      <rPr>
        <sz val="14"/>
        <color theme="1"/>
        <rFont val="Verdana"/>
        <family val="2"/>
      </rPr>
      <t xml:space="preserve"> and </t>
    </r>
    <r>
      <rPr>
        <b/>
        <sz val="14"/>
        <color theme="1"/>
        <rFont val="Verdana"/>
        <family val="2"/>
      </rPr>
      <t>Axis Titles</t>
    </r>
    <r>
      <rPr>
        <sz val="14"/>
        <color theme="1"/>
        <rFont val="Verdana"/>
        <family val="2"/>
      </rPr>
      <t xml:space="preserve"> to your chart.</t>
    </r>
  </si>
  <si>
    <r>
      <t xml:space="preserve">2. Format the chart to show </t>
    </r>
    <r>
      <rPr>
        <b/>
        <sz val="14"/>
        <color theme="1"/>
        <rFont val="Verdana"/>
        <family val="2"/>
      </rPr>
      <t>data labels</t>
    </r>
    <r>
      <rPr>
        <sz val="14"/>
        <color theme="1"/>
        <rFont val="Verdana"/>
        <family val="2"/>
      </rPr>
      <t xml:space="preserve"> for each point/bar.</t>
    </r>
  </si>
  <si>
    <r>
      <t xml:space="preserve">3. Change the </t>
    </r>
    <r>
      <rPr>
        <b/>
        <sz val="14"/>
        <color theme="1"/>
        <rFont val="Verdana"/>
        <family val="2"/>
      </rPr>
      <t>color scheme</t>
    </r>
    <r>
      <rPr>
        <sz val="14"/>
        <color theme="1"/>
        <rFont val="Verdana"/>
        <family val="2"/>
      </rPr>
      <t xml:space="preserve"> to make the chart more readable.</t>
    </r>
  </si>
  <si>
    <r>
      <t xml:space="preserve">4. Add a </t>
    </r>
    <r>
      <rPr>
        <b/>
        <sz val="14"/>
        <color theme="1"/>
        <rFont val="Verdana"/>
        <family val="2"/>
      </rPr>
      <t>legend</t>
    </r>
    <r>
      <rPr>
        <sz val="14"/>
        <color theme="1"/>
        <rFont val="Verdana"/>
        <family val="2"/>
      </rPr>
      <t xml:space="preserve"> and explain what it represents.</t>
    </r>
  </si>
  <si>
    <r>
      <t xml:space="preserve">1. Create a </t>
    </r>
    <r>
      <rPr>
        <b/>
        <sz val="14"/>
        <color theme="1"/>
        <rFont val="Verdana"/>
        <family val="2"/>
      </rPr>
      <t>Combo Chart</t>
    </r>
    <r>
      <rPr>
        <sz val="14"/>
        <color theme="1"/>
        <rFont val="Verdana"/>
        <family val="2"/>
      </rPr>
      <t xml:space="preserve"> with Column for sales and Line for cumulative sales.</t>
    </r>
  </si>
  <si>
    <r>
      <t xml:space="preserve">2. Use </t>
    </r>
    <r>
      <rPr>
        <b/>
        <sz val="14"/>
        <color theme="1"/>
        <rFont val="Verdana"/>
        <family val="2"/>
      </rPr>
      <t>Chart Filters</t>
    </r>
    <r>
      <rPr>
        <sz val="14"/>
        <color theme="1"/>
        <rFont val="Verdana"/>
        <family val="2"/>
      </rPr>
      <t xml:space="preserve"> to display only Apr to Sep data.</t>
    </r>
  </si>
  <si>
    <r>
      <t xml:space="preserve">3. Create a </t>
    </r>
    <r>
      <rPr>
        <b/>
        <sz val="14"/>
        <color theme="1"/>
        <rFont val="Verdana"/>
        <family val="2"/>
      </rPr>
      <t>Doughnut Chart</t>
    </r>
    <r>
      <rPr>
        <sz val="14"/>
        <color theme="1"/>
        <rFont val="Verdana"/>
        <family val="2"/>
      </rPr>
      <t xml:space="preserve"> for Q2 (Apr–Jun) and interpret the dis</t>
    </r>
  </si>
  <si>
    <r>
      <t xml:space="preserve">🔹 </t>
    </r>
    <r>
      <rPr>
        <b/>
        <i/>
        <sz val="14"/>
        <color theme="1"/>
        <rFont val="Verdana"/>
        <family val="2"/>
      </rPr>
      <t>Basic Chart Creation</t>
    </r>
  </si>
  <si>
    <r>
      <t xml:space="preserve">🔹 </t>
    </r>
    <r>
      <rPr>
        <b/>
        <i/>
        <sz val="14"/>
        <color theme="1"/>
        <rFont val="Verdana"/>
        <family val="2"/>
      </rPr>
      <t>Chart Interpretation</t>
    </r>
  </si>
  <si>
    <r>
      <t xml:space="preserve">🔹 </t>
    </r>
    <r>
      <rPr>
        <b/>
        <i/>
        <sz val="14"/>
        <color theme="1"/>
        <rFont val="Verdana"/>
        <family val="2"/>
      </rPr>
      <t>Formatting &amp; Customization</t>
    </r>
  </si>
  <si>
    <r>
      <t xml:space="preserve">🔹 </t>
    </r>
    <r>
      <rPr>
        <b/>
        <i/>
        <sz val="14"/>
        <color theme="1"/>
        <rFont val="Verdana"/>
        <family val="2"/>
      </rPr>
      <t>Advanced Tasks</t>
    </r>
  </si>
  <si>
    <t>Row Labels</t>
  </si>
  <si>
    <t>Grand Total</t>
  </si>
  <si>
    <t>Sum of Sales</t>
  </si>
  <si>
    <t>Values</t>
  </si>
  <si>
    <t>Sum of Profit</t>
  </si>
  <si>
    <t>Month</t>
  </si>
  <si>
    <t>Sales (₹)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</si>
  <si>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</si>
  <si>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</si>
  <si>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</si>
  <si>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</si>
  <si>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</si>
  <si>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</si>
  <si>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</si>
  <si>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</si>
  <si>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</si>
  <si>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</si>
  <si>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</si>
  <si>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</si>
  <si>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cumulative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</si>
</sst>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_);\(0.00\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color theme="1"/>
      <name val="Calibri"/>
      <family val="2"/>
      <scheme val="minor"/>
    </font>
    <font>
      <sz val="11"/>
      <color theme="1"/>
      <name val="Verdana"/>
      <family val="2"/>
    </font>
    <font>
      <sz val="14"/>
      <color theme="1"/>
      <name val="Arial Black"/>
      <family val="2"/>
    </font>
    <font>
      <sz val="12"/>
      <color theme="1"/>
      <name val="Verdana"/>
      <family val="2"/>
    </font>
    <font>
      <sz val="14"/>
      <color theme="1"/>
      <name val="Verdana"/>
      <family val="2"/>
    </font>
    <font>
      <b/>
      <u/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Verdana"/>
      <family val="2"/>
    </font>
    <font>
      <b/>
      <i/>
      <sz val="14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1" fontId="1" fillId="3" borderId="1" xfId="0" applyNumberFormat="1" applyFont="1" applyFill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9" fillId="0" borderId="0" xfId="0" applyFont="1"/>
    <xf numFmtId="0" fontId="3" fillId="0" borderId="1" xfId="0" applyFont="1" applyBorder="1"/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/>
    </xf>
    <xf numFmtId="165" fontId="1" fillId="3" borderId="1" xfId="1" applyNumberFormat="1" applyFont="1" applyFill="1" applyBorder="1" applyAlignment="1">
      <alignment horizontal="center" vertical="top" wrapText="1"/>
    </xf>
    <xf numFmtId="165" fontId="1" fillId="2" borderId="1" xfId="1" applyNumberFormat="1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center" wrapText="1"/>
    </xf>
    <xf numFmtId="1" fontId="1" fillId="4" borderId="0" xfId="0" applyNumberFormat="1" applyFont="1" applyFill="1" applyAlignment="1">
      <alignment horizontal="center" vertical="top" wrapText="1"/>
    </xf>
    <xf numFmtId="165" fontId="1" fillId="4" borderId="0" xfId="1" applyNumberFormat="1" applyFont="1" applyFill="1" applyBorder="1" applyAlignment="1">
      <alignment horizontal="center" vertical="top" wrapText="1"/>
    </xf>
    <xf numFmtId="0" fontId="0" fillId="4" borderId="0" xfId="0" applyFill="1"/>
    <xf numFmtId="0" fontId="11" fillId="6" borderId="1" xfId="2" applyFont="1" applyFill="1" applyBorder="1" applyAlignment="1">
      <alignment horizontal="center"/>
    </xf>
    <xf numFmtId="166" fontId="11" fillId="6" borderId="1" xfId="2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2" fillId="0" borderId="1" xfId="3" applyBorder="1" applyAlignment="1">
      <alignment horizontal="center"/>
    </xf>
    <xf numFmtId="166" fontId="12" fillId="0" borderId="1" xfId="4" applyNumberFormat="1" applyBorder="1" applyAlignment="1">
      <alignment horizontal="center"/>
    </xf>
    <xf numFmtId="0" fontId="12" fillId="0" borderId="0" xfId="3" applyAlignment="1">
      <alignment horizontal="center"/>
    </xf>
    <xf numFmtId="166" fontId="12" fillId="0" borderId="0" xfId="4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4" fillId="0" borderId="0" xfId="0" applyFont="1"/>
    <xf numFmtId="0" fontId="5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5">
    <cellStyle name="Comma" xfId="1" builtinId="3"/>
    <cellStyle name="Normal" xfId="0" builtinId="0"/>
    <cellStyle name="Normal 2 2" xfId="3" xr:uid="{00000000-0005-0000-0000-000002000000}"/>
    <cellStyle name="Normal 3" xfId="2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80314960629923"/>
          <c:y val="0.17997739865850101"/>
          <c:w val="0.85219685039370086"/>
          <c:h val="0.7357713619130943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'Column Chart'!$B$9</c:f>
              <c:strCache>
                <c:ptCount val="1"/>
                <c:pt idx="0">
                  <c:v>National Highway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Chart'!$B$10:$B$15</c:f>
              <c:numCache>
                <c:formatCode>0</c:formatCode>
                <c:ptCount val="6"/>
                <c:pt idx="0">
                  <c:v>70934</c:v>
                </c:pt>
                <c:pt idx="1">
                  <c:v>70934</c:v>
                </c:pt>
                <c:pt idx="2">
                  <c:v>76818</c:v>
                </c:pt>
                <c:pt idx="3">
                  <c:v>79116</c:v>
                </c:pt>
                <c:pt idx="4">
                  <c:v>91286.58</c:v>
                </c:pt>
                <c:pt idx="5">
                  <c:v>97991.12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32-4544-A7B7-5B7C73F06F45}"/>
            </c:ext>
          </c:extLst>
        </c:ser>
        <c:ser>
          <c:idx val="2"/>
          <c:order val="2"/>
          <c:tx>
            <c:strRef>
              <c:f>'Column Chart'!$C$9</c:f>
              <c:strCache>
                <c:ptCount val="1"/>
                <c:pt idx="0">
                  <c:v>State highway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Chart'!$C$10:$C$15</c:f>
              <c:numCache>
                <c:formatCode>0</c:formatCode>
                <c:ptCount val="6"/>
                <c:pt idx="0">
                  <c:v>160177</c:v>
                </c:pt>
                <c:pt idx="1">
                  <c:v>163898</c:v>
                </c:pt>
                <c:pt idx="2">
                  <c:v>164360</c:v>
                </c:pt>
                <c:pt idx="3">
                  <c:v>169227</c:v>
                </c:pt>
                <c:pt idx="4">
                  <c:v>170818.13500000001</c:v>
                </c:pt>
                <c:pt idx="5">
                  <c:v>167109.13500000001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32-4544-A7B7-5B7C73F06F45}"/>
            </c:ext>
          </c:extLst>
        </c:ser>
        <c:ser>
          <c:idx val="3"/>
          <c:order val="3"/>
          <c:tx>
            <c:strRef>
              <c:f>'Column Chart'!$D$9</c:f>
              <c:strCache>
                <c:ptCount val="1"/>
                <c:pt idx="0">
                  <c:v>Urban Road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Chart'!$D$10:$D$15</c:f>
              <c:numCache>
                <c:formatCode>0</c:formatCode>
                <c:ptCount val="6"/>
                <c:pt idx="0">
                  <c:v>254607</c:v>
                </c:pt>
                <c:pt idx="1">
                  <c:v>411679</c:v>
                </c:pt>
                <c:pt idx="2">
                  <c:v>464294</c:v>
                </c:pt>
                <c:pt idx="3">
                  <c:v>446238</c:v>
                </c:pt>
                <c:pt idx="4">
                  <c:v>457466.91</c:v>
                </c:pt>
                <c:pt idx="5">
                  <c:v>467106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32-4544-A7B7-5B7C73F06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71136"/>
        <c:axId val="81781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'Column Chart'!$A$9</c15:sqref>
                        </c15:formulaRef>
                      </c:ext>
                    </c:extLst>
                    <c:strCache>
                      <c:ptCount val="1"/>
                      <c:pt idx="0">
                        <c:v>Year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'Column Chart'!$A$10:$A$15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'Column Chart'!$A$10:$A$15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532-4544-A7B7-5B7C73F06F4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'Column Chart'!$E$9</c15:sqref>
                        </c15:formulaRef>
                      </c:ext>
                    </c:extLst>
                    <c:strCache>
                      <c:ptCount val="1"/>
                      <c:pt idx="0">
                        <c:v>Total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'Column Chart'!$A$10:$A$15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'Column Chart'!$E$10:$E$15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4582439</c:v>
                      </c:pt>
                      <c:pt idx="1">
                        <c:v>4676838</c:v>
                      </c:pt>
                      <c:pt idx="2">
                        <c:v>4865394</c:v>
                      </c:pt>
                      <c:pt idx="3">
                        <c:v>5231922</c:v>
                      </c:pt>
                      <c:pt idx="4">
                        <c:v>5402485.625</c:v>
                      </c:pt>
                      <c:pt idx="5">
                        <c:v>5472144.2549999999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532-4544-A7B7-5B7C73F06F45}"/>
                  </c:ext>
                </c:extLst>
              </c15:ser>
            </c15:filteredBarSeries>
          </c:ext>
        </c:extLst>
      </c:barChart>
      <c:catAx>
        <c:axId val="8177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1120"/>
        <c:crosses val="autoZero"/>
        <c:auto val="1"/>
        <c:lblAlgn val="ctr"/>
        <c:lblOffset val="100"/>
        <c:noMultiLvlLbl val="0"/>
      </c:catAx>
      <c:valAx>
        <c:axId val="817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Chart'!$A$9</c:f>
              <c:strCache>
                <c:ptCount val="1"/>
                <c:pt idx="0">
                  <c:v>Year </c:v>
                </c:pt>
              </c:strCache>
            </c:strRef>
          </c:tx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4-4256-9E44-AEAF9871BA23}"/>
            </c:ext>
          </c:extLst>
        </c:ser>
        <c:ser>
          <c:idx val="1"/>
          <c:order val="1"/>
          <c:tx>
            <c:strRef>
              <c:f>'Column Chart'!$B$9</c:f>
              <c:strCache>
                <c:ptCount val="1"/>
                <c:pt idx="0">
                  <c:v>National Highway</c:v>
                </c:pt>
              </c:strCache>
            </c:strRef>
          </c:tx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Chart'!$B$10:$B$15</c:f>
              <c:numCache>
                <c:formatCode>0</c:formatCode>
                <c:ptCount val="6"/>
                <c:pt idx="0">
                  <c:v>70934</c:v>
                </c:pt>
                <c:pt idx="1">
                  <c:v>70934</c:v>
                </c:pt>
                <c:pt idx="2">
                  <c:v>76818</c:v>
                </c:pt>
                <c:pt idx="3">
                  <c:v>79116</c:v>
                </c:pt>
                <c:pt idx="4">
                  <c:v>91286.58</c:v>
                </c:pt>
                <c:pt idx="5">
                  <c:v>97991.12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4-4256-9E44-AEAF9871BA23}"/>
            </c:ext>
          </c:extLst>
        </c:ser>
        <c:ser>
          <c:idx val="2"/>
          <c:order val="2"/>
          <c:tx>
            <c:strRef>
              <c:f>'Column Chart'!$C$9</c:f>
              <c:strCache>
                <c:ptCount val="1"/>
                <c:pt idx="0">
                  <c:v>State highway</c:v>
                </c:pt>
              </c:strCache>
            </c:strRef>
          </c:tx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Chart'!$C$10:$C$15</c:f>
              <c:numCache>
                <c:formatCode>0</c:formatCode>
                <c:ptCount val="6"/>
                <c:pt idx="0">
                  <c:v>160177</c:v>
                </c:pt>
                <c:pt idx="1">
                  <c:v>163898</c:v>
                </c:pt>
                <c:pt idx="2">
                  <c:v>164360</c:v>
                </c:pt>
                <c:pt idx="3">
                  <c:v>169227</c:v>
                </c:pt>
                <c:pt idx="4">
                  <c:v>170818.13500000001</c:v>
                </c:pt>
                <c:pt idx="5">
                  <c:v>167109.13500000001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4-4256-9E44-AEAF9871BA23}"/>
            </c:ext>
          </c:extLst>
        </c:ser>
        <c:ser>
          <c:idx val="3"/>
          <c:order val="3"/>
          <c:tx>
            <c:strRef>
              <c:f>'Column Chart'!$D$9</c:f>
              <c:strCache>
                <c:ptCount val="1"/>
                <c:pt idx="0">
                  <c:v>Urban Road</c:v>
                </c:pt>
              </c:strCache>
            </c:strRef>
          </c:tx>
          <c:invertIfNegative val="0"/>
          <c:cat>
            <c:numRef>
              <c:f>'Column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'Column Chart'!$D$10:$D$15</c:f>
              <c:numCache>
                <c:formatCode>0</c:formatCode>
                <c:ptCount val="6"/>
                <c:pt idx="0">
                  <c:v>254607</c:v>
                </c:pt>
                <c:pt idx="1">
                  <c:v>411679</c:v>
                </c:pt>
                <c:pt idx="2">
                  <c:v>464294</c:v>
                </c:pt>
                <c:pt idx="3">
                  <c:v>446238</c:v>
                </c:pt>
                <c:pt idx="4">
                  <c:v>457466.91</c:v>
                </c:pt>
                <c:pt idx="5">
                  <c:v>467106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4-4256-9E44-AEAF9871B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43488"/>
        <c:axId val="96545024"/>
      </c:barChart>
      <c:catAx>
        <c:axId val="9654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545024"/>
        <c:crosses val="autoZero"/>
        <c:auto val="1"/>
        <c:lblAlgn val="ctr"/>
        <c:lblOffset val="100"/>
        <c:noMultiLvlLbl val="0"/>
      </c:catAx>
      <c:valAx>
        <c:axId val="9654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5434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Roads length (Km</a:t>
            </a:r>
            <a:r>
              <a:rPr lang="en-IN"/>
              <a:t>)</a:t>
            </a: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'Bar Chart'!$B$9</c:f>
              <c:strCache>
                <c:ptCount val="1"/>
                <c:pt idx="0">
                  <c:v>National Highway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'Bar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'Bar Chart'!$B$10:$B$15</c:f>
              <c:numCache>
                <c:formatCode>_(* #,##0_);_(* \(#,##0\);_(* "-"??_);_(@_)</c:formatCode>
                <c:ptCount val="6"/>
                <c:pt idx="0">
                  <c:v>70934</c:v>
                </c:pt>
                <c:pt idx="1">
                  <c:v>70934</c:v>
                </c:pt>
                <c:pt idx="2">
                  <c:v>76818</c:v>
                </c:pt>
                <c:pt idx="3">
                  <c:v>79116</c:v>
                </c:pt>
                <c:pt idx="4">
                  <c:v>91286.58</c:v>
                </c:pt>
                <c:pt idx="5">
                  <c:v>97991.12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4-4FC4-9CFA-A5F6C2004231}"/>
            </c:ext>
          </c:extLst>
        </c:ser>
        <c:ser>
          <c:idx val="2"/>
          <c:order val="2"/>
          <c:tx>
            <c:strRef>
              <c:f>'Bar Chart'!$C$9</c:f>
              <c:strCache>
                <c:ptCount val="1"/>
                <c:pt idx="0">
                  <c:v>State highway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'Bar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'Bar Chart'!$C$10:$C$15</c:f>
              <c:numCache>
                <c:formatCode>_(* #,##0_);_(* \(#,##0\);_(* "-"??_);_(@_)</c:formatCode>
                <c:ptCount val="6"/>
                <c:pt idx="0">
                  <c:v>160177</c:v>
                </c:pt>
                <c:pt idx="1">
                  <c:v>163898</c:v>
                </c:pt>
                <c:pt idx="2">
                  <c:v>164360</c:v>
                </c:pt>
                <c:pt idx="3">
                  <c:v>169227</c:v>
                </c:pt>
                <c:pt idx="4">
                  <c:v>170818.13500000001</c:v>
                </c:pt>
                <c:pt idx="5">
                  <c:v>167109.13500000001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D4-4FC4-9CFA-A5F6C2004231}"/>
            </c:ext>
          </c:extLst>
        </c:ser>
        <c:ser>
          <c:idx val="3"/>
          <c:order val="3"/>
          <c:tx>
            <c:strRef>
              <c:f>'Bar Chart'!$D$9</c:f>
              <c:strCache>
                <c:ptCount val="1"/>
                <c:pt idx="0">
                  <c:v>Urban Road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'Bar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'Bar Chart'!$D$10:$D$15</c:f>
              <c:numCache>
                <c:formatCode>_(* #,##0_);_(* \(#,##0\);_(* "-"??_);_(@_)</c:formatCode>
                <c:ptCount val="6"/>
                <c:pt idx="0">
                  <c:v>402448</c:v>
                </c:pt>
                <c:pt idx="1">
                  <c:v>411679</c:v>
                </c:pt>
                <c:pt idx="2">
                  <c:v>464294</c:v>
                </c:pt>
                <c:pt idx="3">
                  <c:v>446238</c:v>
                </c:pt>
                <c:pt idx="4">
                  <c:v>457466.91</c:v>
                </c:pt>
                <c:pt idx="5">
                  <c:v>467106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D4-4FC4-9CFA-A5F6C2004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26784"/>
        <c:axId val="819367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'Bar Chart'!$A$9</c15:sqref>
                        </c15:formulaRef>
                      </c:ext>
                    </c:extLst>
                    <c:strCache>
                      <c:ptCount val="1"/>
                      <c:pt idx="0">
                        <c:v>Year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'Bar Chart'!$A$10:$A$15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'Bar Chart'!$A$10:$A$15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FD4-4FC4-9CFA-A5F6C200423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 Chart'!$E$9</c15:sqref>
                        </c15:formulaRef>
                      </c:ext>
                    </c:extLst>
                    <c:strCache>
                      <c:ptCount val="1"/>
                      <c:pt idx="0">
                        <c:v>Total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 Chart'!$A$10:$A$15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 Chart'!$E$10:$E$15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  <c:pt idx="0">
                        <c:v>4582439</c:v>
                      </c:pt>
                      <c:pt idx="1">
                        <c:v>4676838</c:v>
                      </c:pt>
                      <c:pt idx="2">
                        <c:v>4865394</c:v>
                      </c:pt>
                      <c:pt idx="3">
                        <c:v>5231922</c:v>
                      </c:pt>
                      <c:pt idx="4">
                        <c:v>5402485.625</c:v>
                      </c:pt>
                      <c:pt idx="5">
                        <c:v>5472144.2549999999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FD4-4FC4-9CFA-A5F6C2004231}"/>
                  </c:ext>
                </c:extLst>
              </c15:ser>
            </c15:filteredBarSeries>
          </c:ext>
        </c:extLst>
      </c:barChart>
      <c:catAx>
        <c:axId val="819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6768"/>
        <c:crosses val="autoZero"/>
        <c:auto val="1"/>
        <c:lblAlgn val="ctr"/>
        <c:lblOffset val="100"/>
        <c:noMultiLvlLbl val="0"/>
      </c:catAx>
      <c:valAx>
        <c:axId val="8193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2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'Bar Chart'!$B$9</c:f>
              <c:strCache>
                <c:ptCount val="1"/>
                <c:pt idx="0">
                  <c:v>National Highway</c:v>
                </c:pt>
              </c:strCache>
            </c:strRef>
          </c:tx>
          <c:invertIfNegative val="0"/>
          <c:cat>
            <c:numRef>
              <c:f>'Bar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'Bar Chart'!$B$10:$B$15</c:f>
              <c:numCache>
                <c:formatCode>_(* #,##0_);_(* \(#,##0\);_(* "-"??_);_(@_)</c:formatCode>
                <c:ptCount val="6"/>
                <c:pt idx="0">
                  <c:v>70934</c:v>
                </c:pt>
                <c:pt idx="1">
                  <c:v>70934</c:v>
                </c:pt>
                <c:pt idx="2">
                  <c:v>76818</c:v>
                </c:pt>
                <c:pt idx="3">
                  <c:v>79116</c:v>
                </c:pt>
                <c:pt idx="4">
                  <c:v>91286.58</c:v>
                </c:pt>
                <c:pt idx="5">
                  <c:v>97991.12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2-432D-B85F-7F1C21A0625B}"/>
            </c:ext>
          </c:extLst>
        </c:ser>
        <c:ser>
          <c:idx val="2"/>
          <c:order val="1"/>
          <c:tx>
            <c:strRef>
              <c:f>'Bar Chart'!$C$9</c:f>
              <c:strCache>
                <c:ptCount val="1"/>
                <c:pt idx="0">
                  <c:v>State highway</c:v>
                </c:pt>
              </c:strCache>
            </c:strRef>
          </c:tx>
          <c:invertIfNegative val="0"/>
          <c:cat>
            <c:numRef>
              <c:f>'Bar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'Bar Chart'!$C$10:$C$15</c:f>
              <c:numCache>
                <c:formatCode>_(* #,##0_);_(* \(#,##0\);_(* "-"??_);_(@_)</c:formatCode>
                <c:ptCount val="6"/>
                <c:pt idx="0">
                  <c:v>160177</c:v>
                </c:pt>
                <c:pt idx="1">
                  <c:v>163898</c:v>
                </c:pt>
                <c:pt idx="2">
                  <c:v>164360</c:v>
                </c:pt>
                <c:pt idx="3">
                  <c:v>169227</c:v>
                </c:pt>
                <c:pt idx="4">
                  <c:v>170818.13500000001</c:v>
                </c:pt>
                <c:pt idx="5">
                  <c:v>167109.13500000001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2-432D-B85F-7F1C21A0625B}"/>
            </c:ext>
          </c:extLst>
        </c:ser>
        <c:ser>
          <c:idx val="3"/>
          <c:order val="2"/>
          <c:tx>
            <c:strRef>
              <c:f>'Bar Chart'!$D$9</c:f>
              <c:strCache>
                <c:ptCount val="1"/>
                <c:pt idx="0">
                  <c:v>Urban Road</c:v>
                </c:pt>
              </c:strCache>
            </c:strRef>
          </c:tx>
          <c:invertIfNegative val="0"/>
          <c:cat>
            <c:numRef>
              <c:f>'Bar Chart'!$A$10:$A$15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'Bar Chart'!$D$10:$D$15</c:f>
              <c:numCache>
                <c:formatCode>_(* #,##0_);_(* \(#,##0\);_(* "-"??_);_(@_)</c:formatCode>
                <c:ptCount val="6"/>
                <c:pt idx="0">
                  <c:v>402448</c:v>
                </c:pt>
                <c:pt idx="1">
                  <c:v>411679</c:v>
                </c:pt>
                <c:pt idx="2">
                  <c:v>464294</c:v>
                </c:pt>
                <c:pt idx="3">
                  <c:v>446238</c:v>
                </c:pt>
                <c:pt idx="4">
                  <c:v>457466.91</c:v>
                </c:pt>
                <c:pt idx="5">
                  <c:v>467106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2-432D-B85F-7F1C21A06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50560"/>
        <c:axId val="151511808"/>
      </c:barChart>
      <c:catAx>
        <c:axId val="125250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1511808"/>
        <c:crosses val="autoZero"/>
        <c:auto val="1"/>
        <c:lblAlgn val="ctr"/>
        <c:lblOffset val="100"/>
        <c:noMultiLvlLbl val="0"/>
      </c:catAx>
      <c:valAx>
        <c:axId val="151511808"/>
        <c:scaling>
          <c:orientation val="minMax"/>
        </c:scaling>
        <c:delete val="0"/>
        <c:axPos val="b"/>
        <c:majorGridlines/>
        <c:numFmt formatCode="_(* #,##0_);_(* \(#,##0\);_(* &quot;-&quot;??_);_(@_)" sourceLinked="1"/>
        <c:majorTickMark val="out"/>
        <c:minorTickMark val="none"/>
        <c:tickLblPos val="nextTo"/>
        <c:crossAx val="1252505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71741032371027E-2"/>
          <c:y val="5.1400554097404488E-2"/>
          <c:w val="0.59223381452318569"/>
          <c:h val="0.76084098862642269"/>
        </c:manualLayout>
      </c:layout>
      <c:lineChart>
        <c:grouping val="standard"/>
        <c:varyColors val="0"/>
        <c:ser>
          <c:idx val="1"/>
          <c:order val="0"/>
          <c:tx>
            <c:strRef>
              <c:f>'Line chart'!$F$9</c:f>
              <c:strCache>
                <c:ptCount val="1"/>
                <c:pt idx="0">
                  <c:v>US Dollar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chart'!$F$10:$F$24</c:f>
              <c:numCache>
                <c:formatCode>General</c:formatCode>
                <c:ptCount val="15"/>
                <c:pt idx="0">
                  <c:v>45.68</c:v>
                </c:pt>
                <c:pt idx="1">
                  <c:v>47.69</c:v>
                </c:pt>
                <c:pt idx="2">
                  <c:v>48.4</c:v>
                </c:pt>
                <c:pt idx="3">
                  <c:v>45.95</c:v>
                </c:pt>
                <c:pt idx="4">
                  <c:v>44.93</c:v>
                </c:pt>
                <c:pt idx="5">
                  <c:v>44.27</c:v>
                </c:pt>
                <c:pt idx="6">
                  <c:v>45.29</c:v>
                </c:pt>
                <c:pt idx="7">
                  <c:v>40.26</c:v>
                </c:pt>
                <c:pt idx="8">
                  <c:v>45.99</c:v>
                </c:pt>
                <c:pt idx="9">
                  <c:v>47.42</c:v>
                </c:pt>
                <c:pt idx="10">
                  <c:v>45.58</c:v>
                </c:pt>
                <c:pt idx="11">
                  <c:v>47.92</c:v>
                </c:pt>
                <c:pt idx="12">
                  <c:v>54.41</c:v>
                </c:pt>
                <c:pt idx="13">
                  <c:v>60.5</c:v>
                </c:pt>
                <c:pt idx="14">
                  <c:v>61.14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BD2-BC5F-BF0D80DCF2A3}"/>
            </c:ext>
          </c:extLst>
        </c:ser>
        <c:ser>
          <c:idx val="2"/>
          <c:order val="1"/>
          <c:tx>
            <c:strRef>
              <c:f>'Line chart'!$G$9</c:f>
              <c:strCache>
                <c:ptCount val="1"/>
                <c:pt idx="0">
                  <c:v>Pound
Sterling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chart'!$G$10:$G$24</c:f>
              <c:numCache>
                <c:formatCode>General</c:formatCode>
                <c:ptCount val="15"/>
                <c:pt idx="0">
                  <c:v>67.55</c:v>
                </c:pt>
                <c:pt idx="1">
                  <c:v>68.319999999999993</c:v>
                </c:pt>
                <c:pt idx="2">
                  <c:v>74.819999999999993</c:v>
                </c:pt>
                <c:pt idx="3">
                  <c:v>77.739999999999995</c:v>
                </c:pt>
                <c:pt idx="4">
                  <c:v>82.86</c:v>
                </c:pt>
                <c:pt idx="5">
                  <c:v>79.05</c:v>
                </c:pt>
                <c:pt idx="6">
                  <c:v>85.73</c:v>
                </c:pt>
                <c:pt idx="7">
                  <c:v>80.84</c:v>
                </c:pt>
                <c:pt idx="8">
                  <c:v>78.319999999999993</c:v>
                </c:pt>
                <c:pt idx="9">
                  <c:v>75.89</c:v>
                </c:pt>
                <c:pt idx="10">
                  <c:v>70.89</c:v>
                </c:pt>
                <c:pt idx="11">
                  <c:v>76.38</c:v>
                </c:pt>
                <c:pt idx="12">
                  <c:v>85.98</c:v>
                </c:pt>
                <c:pt idx="13">
                  <c:v>96.3</c:v>
                </c:pt>
                <c:pt idx="14">
                  <c:v>98.57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BD2-BC5F-BF0D80DCF2A3}"/>
            </c:ext>
          </c:extLst>
        </c:ser>
        <c:ser>
          <c:idx val="3"/>
          <c:order val="2"/>
          <c:tx>
            <c:strRef>
              <c:f>'Line chart'!$H$9</c:f>
              <c:strCache>
                <c:ptCount val="1"/>
                <c:pt idx="0">
                  <c:v>Euro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chart'!$H$10:$H$24</c:f>
              <c:numCache>
                <c:formatCode>General</c:formatCode>
                <c:ptCount val="15"/>
                <c:pt idx="0">
                  <c:v>41.48</c:v>
                </c:pt>
                <c:pt idx="1">
                  <c:v>42.18</c:v>
                </c:pt>
                <c:pt idx="2">
                  <c:v>48.09</c:v>
                </c:pt>
                <c:pt idx="3">
                  <c:v>53.99</c:v>
                </c:pt>
                <c:pt idx="4">
                  <c:v>56.51</c:v>
                </c:pt>
                <c:pt idx="5">
                  <c:v>53.91</c:v>
                </c:pt>
                <c:pt idx="6">
                  <c:v>58.11</c:v>
                </c:pt>
                <c:pt idx="7">
                  <c:v>56.99</c:v>
                </c:pt>
                <c:pt idx="8">
                  <c:v>65.14</c:v>
                </c:pt>
                <c:pt idx="9">
                  <c:v>67.08</c:v>
                </c:pt>
                <c:pt idx="10">
                  <c:v>60.22</c:v>
                </c:pt>
                <c:pt idx="11">
                  <c:v>65.89</c:v>
                </c:pt>
                <c:pt idx="12">
                  <c:v>70.069999999999993</c:v>
                </c:pt>
                <c:pt idx="13">
                  <c:v>81.17</c:v>
                </c:pt>
                <c:pt idx="14">
                  <c:v>77.52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BD2-BC5F-BF0D80DCF2A3}"/>
            </c:ext>
          </c:extLst>
        </c:ser>
        <c:ser>
          <c:idx val="4"/>
          <c:order val="3"/>
          <c:tx>
            <c:strRef>
              <c:f>'Line chart'!$I$9</c:f>
              <c:strCache>
                <c:ptCount val="1"/>
                <c:pt idx="0">
                  <c:v>Yen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chart'!$I$10:$I$24</c:f>
              <c:numCache>
                <c:formatCode>General</c:formatCode>
                <c:ptCount val="15"/>
                <c:pt idx="0">
                  <c:v>0.41</c:v>
                </c:pt>
                <c:pt idx="1">
                  <c:v>0.38</c:v>
                </c:pt>
                <c:pt idx="2">
                  <c:v>0.4</c:v>
                </c:pt>
                <c:pt idx="3">
                  <c:v>0.41</c:v>
                </c:pt>
                <c:pt idx="4">
                  <c:v>0.42</c:v>
                </c:pt>
                <c:pt idx="5">
                  <c:v>0.39</c:v>
                </c:pt>
                <c:pt idx="6">
                  <c:v>0.39</c:v>
                </c:pt>
                <c:pt idx="7">
                  <c:v>0.35</c:v>
                </c:pt>
                <c:pt idx="8">
                  <c:v>0.46</c:v>
                </c:pt>
                <c:pt idx="9">
                  <c:v>0.51</c:v>
                </c:pt>
                <c:pt idx="10">
                  <c:v>0.53</c:v>
                </c:pt>
                <c:pt idx="11">
                  <c:v>0.61</c:v>
                </c:pt>
                <c:pt idx="12">
                  <c:v>0.66</c:v>
                </c:pt>
                <c:pt idx="13">
                  <c:v>0.6</c:v>
                </c:pt>
                <c:pt idx="14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9-4BD2-BC5F-BF0D80DCF2A3}"/>
            </c:ext>
          </c:extLst>
        </c:ser>
        <c:ser>
          <c:idx val="5"/>
          <c:order val="4"/>
          <c:tx>
            <c:strRef>
              <c:f>'Line chart'!$J$9</c:f>
              <c:strCache>
                <c:ptCount val="1"/>
                <c:pt idx="0">
                  <c:v>Canadian Dollar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chart'!$J$10:$J$24</c:f>
              <c:numCache>
                <c:formatCode>General</c:formatCode>
                <c:ptCount val="15"/>
                <c:pt idx="0">
                  <c:v>30.38</c:v>
                </c:pt>
                <c:pt idx="1">
                  <c:v>30.47</c:v>
                </c:pt>
                <c:pt idx="2">
                  <c:v>31.25</c:v>
                </c:pt>
                <c:pt idx="3">
                  <c:v>33.99</c:v>
                </c:pt>
                <c:pt idx="4">
                  <c:v>35.21</c:v>
                </c:pt>
                <c:pt idx="5">
                  <c:v>37.14</c:v>
                </c:pt>
                <c:pt idx="6">
                  <c:v>39.770000000000003</c:v>
                </c:pt>
                <c:pt idx="7">
                  <c:v>39.04</c:v>
                </c:pt>
                <c:pt idx="8">
                  <c:v>40.880000000000003</c:v>
                </c:pt>
                <c:pt idx="9">
                  <c:v>43.49</c:v>
                </c:pt>
                <c:pt idx="10">
                  <c:v>44.84</c:v>
                </c:pt>
                <c:pt idx="11">
                  <c:v>48.31</c:v>
                </c:pt>
                <c:pt idx="12">
                  <c:v>54.35</c:v>
                </c:pt>
                <c:pt idx="13">
                  <c:v>57.35</c:v>
                </c:pt>
                <c:pt idx="14">
                  <c:v>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29-4BD2-BC5F-BF0D80DCF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30976"/>
        <c:axId val="82032512"/>
      </c:lineChart>
      <c:catAx>
        <c:axId val="8203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2032512"/>
        <c:crosses val="autoZero"/>
        <c:auto val="1"/>
        <c:lblAlgn val="ctr"/>
        <c:lblOffset val="100"/>
        <c:tickMarkSkip val="1"/>
        <c:noMultiLvlLbl val="0"/>
      </c:catAx>
      <c:valAx>
        <c:axId val="82032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US"/>
                </a:pPr>
                <a:r>
                  <a:rPr lang="en-US"/>
                  <a:t>Indian Rupee</a:t>
                </a:r>
              </a:p>
            </c:rich>
          </c:tx>
          <c:layout>
            <c:manualLayout>
              <c:xMode val="edge"/>
              <c:yMode val="edge"/>
              <c:x val="0"/>
              <c:y val="0.312098643919510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203097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 chart'!$F$9</c:f>
              <c:strCache>
                <c:ptCount val="1"/>
                <c:pt idx="0">
                  <c:v>US Dollar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chart'!$F$10:$F$24</c:f>
              <c:numCache>
                <c:formatCode>General</c:formatCode>
                <c:ptCount val="15"/>
                <c:pt idx="0">
                  <c:v>45.68</c:v>
                </c:pt>
                <c:pt idx="1">
                  <c:v>47.69</c:v>
                </c:pt>
                <c:pt idx="2">
                  <c:v>48.4</c:v>
                </c:pt>
                <c:pt idx="3">
                  <c:v>45.95</c:v>
                </c:pt>
                <c:pt idx="4">
                  <c:v>44.93</c:v>
                </c:pt>
                <c:pt idx="5">
                  <c:v>44.27</c:v>
                </c:pt>
                <c:pt idx="6">
                  <c:v>45.29</c:v>
                </c:pt>
                <c:pt idx="7">
                  <c:v>40.26</c:v>
                </c:pt>
                <c:pt idx="8">
                  <c:v>45.99</c:v>
                </c:pt>
                <c:pt idx="9">
                  <c:v>47.42</c:v>
                </c:pt>
                <c:pt idx="10">
                  <c:v>45.58</c:v>
                </c:pt>
                <c:pt idx="11">
                  <c:v>47.92</c:v>
                </c:pt>
                <c:pt idx="12">
                  <c:v>54.41</c:v>
                </c:pt>
                <c:pt idx="13">
                  <c:v>60.5</c:v>
                </c:pt>
                <c:pt idx="14">
                  <c:v>61.14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F-4FE9-965A-3EF834B314FE}"/>
            </c:ext>
          </c:extLst>
        </c:ser>
        <c:ser>
          <c:idx val="2"/>
          <c:order val="1"/>
          <c:tx>
            <c:strRef>
              <c:f>'Line chart'!$G$9</c:f>
              <c:strCache>
                <c:ptCount val="1"/>
                <c:pt idx="0">
                  <c:v>Pound
Sterling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chart'!$G$10:$G$24</c:f>
              <c:numCache>
                <c:formatCode>General</c:formatCode>
                <c:ptCount val="15"/>
                <c:pt idx="0">
                  <c:v>67.55</c:v>
                </c:pt>
                <c:pt idx="1">
                  <c:v>68.319999999999993</c:v>
                </c:pt>
                <c:pt idx="2">
                  <c:v>74.819999999999993</c:v>
                </c:pt>
                <c:pt idx="3">
                  <c:v>77.739999999999995</c:v>
                </c:pt>
                <c:pt idx="4">
                  <c:v>82.86</c:v>
                </c:pt>
                <c:pt idx="5">
                  <c:v>79.05</c:v>
                </c:pt>
                <c:pt idx="6">
                  <c:v>85.73</c:v>
                </c:pt>
                <c:pt idx="7">
                  <c:v>80.84</c:v>
                </c:pt>
                <c:pt idx="8">
                  <c:v>78.319999999999993</c:v>
                </c:pt>
                <c:pt idx="9">
                  <c:v>75.89</c:v>
                </c:pt>
                <c:pt idx="10">
                  <c:v>70.89</c:v>
                </c:pt>
                <c:pt idx="11">
                  <c:v>76.38</c:v>
                </c:pt>
                <c:pt idx="12">
                  <c:v>85.98</c:v>
                </c:pt>
                <c:pt idx="13">
                  <c:v>96.3</c:v>
                </c:pt>
                <c:pt idx="14">
                  <c:v>98.57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F-4FE9-965A-3EF834B314FE}"/>
            </c:ext>
          </c:extLst>
        </c:ser>
        <c:ser>
          <c:idx val="3"/>
          <c:order val="2"/>
          <c:tx>
            <c:strRef>
              <c:f>'Line chart'!$H$9</c:f>
              <c:strCache>
                <c:ptCount val="1"/>
                <c:pt idx="0">
                  <c:v>Euro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chart'!$H$10:$H$24</c:f>
              <c:numCache>
                <c:formatCode>General</c:formatCode>
                <c:ptCount val="15"/>
                <c:pt idx="0">
                  <c:v>41.48</c:v>
                </c:pt>
                <c:pt idx="1">
                  <c:v>42.18</c:v>
                </c:pt>
                <c:pt idx="2">
                  <c:v>48.09</c:v>
                </c:pt>
                <c:pt idx="3">
                  <c:v>53.99</c:v>
                </c:pt>
                <c:pt idx="4">
                  <c:v>56.51</c:v>
                </c:pt>
                <c:pt idx="5">
                  <c:v>53.91</c:v>
                </c:pt>
                <c:pt idx="6">
                  <c:v>58.11</c:v>
                </c:pt>
                <c:pt idx="7">
                  <c:v>56.99</c:v>
                </c:pt>
                <c:pt idx="8">
                  <c:v>65.14</c:v>
                </c:pt>
                <c:pt idx="9">
                  <c:v>67.08</c:v>
                </c:pt>
                <c:pt idx="10">
                  <c:v>60.22</c:v>
                </c:pt>
                <c:pt idx="11">
                  <c:v>65.89</c:v>
                </c:pt>
                <c:pt idx="12">
                  <c:v>70.069999999999993</c:v>
                </c:pt>
                <c:pt idx="13">
                  <c:v>81.17</c:v>
                </c:pt>
                <c:pt idx="14">
                  <c:v>77.52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F-4FE9-965A-3EF834B314FE}"/>
            </c:ext>
          </c:extLst>
        </c:ser>
        <c:ser>
          <c:idx val="4"/>
          <c:order val="3"/>
          <c:tx>
            <c:strRef>
              <c:f>'Line chart'!$I$9</c:f>
              <c:strCache>
                <c:ptCount val="1"/>
                <c:pt idx="0">
                  <c:v>Yen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chart'!$I$10:$I$24</c:f>
              <c:numCache>
                <c:formatCode>General</c:formatCode>
                <c:ptCount val="15"/>
                <c:pt idx="0">
                  <c:v>0.41</c:v>
                </c:pt>
                <c:pt idx="1">
                  <c:v>0.38</c:v>
                </c:pt>
                <c:pt idx="2">
                  <c:v>0.4</c:v>
                </c:pt>
                <c:pt idx="3">
                  <c:v>0.41</c:v>
                </c:pt>
                <c:pt idx="4">
                  <c:v>0.42</c:v>
                </c:pt>
                <c:pt idx="5">
                  <c:v>0.39</c:v>
                </c:pt>
                <c:pt idx="6">
                  <c:v>0.39</c:v>
                </c:pt>
                <c:pt idx="7">
                  <c:v>0.35</c:v>
                </c:pt>
                <c:pt idx="8">
                  <c:v>0.46</c:v>
                </c:pt>
                <c:pt idx="9">
                  <c:v>0.51</c:v>
                </c:pt>
                <c:pt idx="10">
                  <c:v>0.53</c:v>
                </c:pt>
                <c:pt idx="11">
                  <c:v>0.61</c:v>
                </c:pt>
                <c:pt idx="12">
                  <c:v>0.66</c:v>
                </c:pt>
                <c:pt idx="13">
                  <c:v>0.6</c:v>
                </c:pt>
                <c:pt idx="14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DF-4FE9-965A-3EF834B314FE}"/>
            </c:ext>
          </c:extLst>
        </c:ser>
        <c:ser>
          <c:idx val="5"/>
          <c:order val="4"/>
          <c:tx>
            <c:strRef>
              <c:f>'Line chart'!$J$9</c:f>
              <c:strCache>
                <c:ptCount val="1"/>
                <c:pt idx="0">
                  <c:v>Canadian Dollar</c:v>
                </c:pt>
              </c:strCache>
            </c:strRef>
          </c:tx>
          <c:marker>
            <c:symbol val="none"/>
          </c:marker>
          <c:cat>
            <c:numRef>
              <c:f>'Line chart'!$E$10:$E$24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'Line chart'!$J$10:$J$24</c:f>
              <c:numCache>
                <c:formatCode>General</c:formatCode>
                <c:ptCount val="15"/>
                <c:pt idx="0">
                  <c:v>30.38</c:v>
                </c:pt>
                <c:pt idx="1">
                  <c:v>30.47</c:v>
                </c:pt>
                <c:pt idx="2">
                  <c:v>31.25</c:v>
                </c:pt>
                <c:pt idx="3">
                  <c:v>33.99</c:v>
                </c:pt>
                <c:pt idx="4">
                  <c:v>35.21</c:v>
                </c:pt>
                <c:pt idx="5">
                  <c:v>37.14</c:v>
                </c:pt>
                <c:pt idx="6">
                  <c:v>39.770000000000003</c:v>
                </c:pt>
                <c:pt idx="7">
                  <c:v>39.04</c:v>
                </c:pt>
                <c:pt idx="8">
                  <c:v>40.880000000000003</c:v>
                </c:pt>
                <c:pt idx="9">
                  <c:v>43.49</c:v>
                </c:pt>
                <c:pt idx="10">
                  <c:v>44.84</c:v>
                </c:pt>
                <c:pt idx="11">
                  <c:v>48.31</c:v>
                </c:pt>
                <c:pt idx="12">
                  <c:v>54.35</c:v>
                </c:pt>
                <c:pt idx="13">
                  <c:v>57.35</c:v>
                </c:pt>
                <c:pt idx="14">
                  <c:v>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DF-4FE9-965A-3EF834B3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28768"/>
        <c:axId val="144930304"/>
      </c:lineChart>
      <c:catAx>
        <c:axId val="14492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930304"/>
        <c:crosses val="autoZero"/>
        <c:auto val="1"/>
        <c:lblAlgn val="ctr"/>
        <c:lblOffset val="100"/>
        <c:noMultiLvlLbl val="0"/>
      </c:catAx>
      <c:valAx>
        <c:axId val="14493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928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Election</a:t>
            </a:r>
            <a:r>
              <a:rPr lang="en-US" baseline="0"/>
              <a:t> result 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0496886114087951"/>
          <c:y val="0.17229280503638139"/>
          <c:w val="0.39315369602468392"/>
          <c:h val="0.7093556010125069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Chart'!$B$8:$B$10</c:f>
              <c:strCache>
                <c:ptCount val="3"/>
                <c:pt idx="0">
                  <c:v>NDA</c:v>
                </c:pt>
                <c:pt idx="1">
                  <c:v>UPA</c:v>
                </c:pt>
                <c:pt idx="2">
                  <c:v>Others</c:v>
                </c:pt>
              </c:strCache>
            </c:strRef>
          </c:cat>
          <c:val>
            <c:numRef>
              <c:f>'Pie Chart'!$C$8:$C$10</c:f>
              <c:numCache>
                <c:formatCode>General</c:formatCode>
                <c:ptCount val="3"/>
                <c:pt idx="0">
                  <c:v>363</c:v>
                </c:pt>
                <c:pt idx="1">
                  <c:v>60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E-4D46-A450-2A7773760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'Pie Chart'!$B$7:$B$10</c:f>
              <c:strCache>
                <c:ptCount val="4"/>
                <c:pt idx="0">
                  <c:v>Election Result 2014</c:v>
                </c:pt>
                <c:pt idx="1">
                  <c:v>NDA</c:v>
                </c:pt>
                <c:pt idx="2">
                  <c:v>UPA</c:v>
                </c:pt>
                <c:pt idx="3">
                  <c:v>Others</c:v>
                </c:pt>
              </c:strCache>
            </c:strRef>
          </c:cat>
          <c:val>
            <c:numRef>
              <c:f>'Pie Chart'!$C$7:$C$10</c:f>
              <c:numCache>
                <c:formatCode>General</c:formatCode>
                <c:ptCount val="4"/>
                <c:pt idx="1">
                  <c:v>363</c:v>
                </c:pt>
                <c:pt idx="2">
                  <c:v>60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F-4F05-87BA-7B2F24DEDE19}"/>
            </c:ext>
          </c:extLst>
        </c:ser>
        <c:ser>
          <c:idx val="1"/>
          <c:order val="1"/>
          <c:cat>
            <c:strRef>
              <c:f>'Pie Chart'!$B$7:$B$10</c:f>
              <c:strCache>
                <c:ptCount val="4"/>
                <c:pt idx="0">
                  <c:v>Election Result 2014</c:v>
                </c:pt>
                <c:pt idx="1">
                  <c:v>NDA</c:v>
                </c:pt>
                <c:pt idx="2">
                  <c:v>UPA</c:v>
                </c:pt>
                <c:pt idx="3">
                  <c:v>Others</c:v>
                </c:pt>
              </c:strCache>
            </c:strRef>
          </c:cat>
          <c:val>
            <c:numRef>
              <c:f>'Pie Chart'!$D$7:$D$10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629F-4F05-87BA-7B2F24DE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COLUMN</a:t>
            </a:r>
            <a:r>
              <a:rPr lang="en-GB" baseline="0"/>
              <a:t>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Roads!$B$4</c:f>
              <c:strCache>
                <c:ptCount val="1"/>
                <c:pt idx="0">
                  <c:v>Year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Roads!$B$5:$B$10</c:f>
              <c:numCache>
                <c:formatCode>General</c:formatCod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6-4E7C-BE76-DCF4802F58A0}"/>
            </c:ext>
          </c:extLst>
        </c:ser>
        <c:ser>
          <c:idx val="1"/>
          <c:order val="1"/>
          <c:tx>
            <c:strRef>
              <c:f>Roads!$C$4</c:f>
              <c:strCache>
                <c:ptCount val="1"/>
                <c:pt idx="0">
                  <c:v>National Highways Length (Kms)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Roads!$C$5:$C$10</c:f>
              <c:numCache>
                <c:formatCode>0</c:formatCode>
                <c:ptCount val="6"/>
                <c:pt idx="0">
                  <c:v>65569</c:v>
                </c:pt>
                <c:pt idx="1">
                  <c:v>66590</c:v>
                </c:pt>
                <c:pt idx="2">
                  <c:v>66590</c:v>
                </c:pt>
                <c:pt idx="3">
                  <c:v>66754</c:v>
                </c:pt>
                <c:pt idx="4">
                  <c:v>70548.429999999993</c:v>
                </c:pt>
                <c:pt idx="5">
                  <c:v>70934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6-4E7C-BE76-DCF4802F58A0}"/>
            </c:ext>
          </c:extLst>
        </c:ser>
        <c:ser>
          <c:idx val="2"/>
          <c:order val="2"/>
          <c:tx>
            <c:strRef>
              <c:f>Roads!$D$4</c:f>
              <c:strCache>
                <c:ptCount val="1"/>
                <c:pt idx="0">
                  <c:v>State highways Length (Kms)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Roads!$D$5:$D$10</c:f>
              <c:numCache>
                <c:formatCode>0</c:formatCode>
                <c:ptCount val="6"/>
                <c:pt idx="0">
                  <c:v>144396</c:v>
                </c:pt>
                <c:pt idx="1">
                  <c:v>148090</c:v>
                </c:pt>
                <c:pt idx="2">
                  <c:v>152235</c:v>
                </c:pt>
                <c:pt idx="3">
                  <c:v>154522</c:v>
                </c:pt>
                <c:pt idx="4">
                  <c:v>158497.37899999999</c:v>
                </c:pt>
                <c:pt idx="5">
                  <c:v>160177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26-4E7C-BE76-DCF4802F58A0}"/>
            </c:ext>
          </c:extLst>
        </c:ser>
        <c:ser>
          <c:idx val="3"/>
          <c:order val="3"/>
          <c:tx>
            <c:strRef>
              <c:f>Roads!$E$4</c:f>
              <c:strCache>
                <c:ptCount val="1"/>
                <c:pt idx="0">
                  <c:v>Urban Roads Length (Kms)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Roads!$E$5:$E$10</c:f>
              <c:numCache>
                <c:formatCode>0</c:formatCode>
                <c:ptCount val="6"/>
                <c:pt idx="0">
                  <c:v>286707</c:v>
                </c:pt>
                <c:pt idx="1">
                  <c:v>291991</c:v>
                </c:pt>
                <c:pt idx="2">
                  <c:v>300580</c:v>
                </c:pt>
                <c:pt idx="3">
                  <c:v>304327</c:v>
                </c:pt>
                <c:pt idx="4">
                  <c:v>373801.97600000002</c:v>
                </c:pt>
                <c:pt idx="5">
                  <c:v>402448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6-4E7C-BE76-DCF4802F5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000072"/>
        <c:axId val="558000432"/>
      </c:barChart>
      <c:catAx>
        <c:axId val="558000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00432"/>
        <c:crosses val="autoZero"/>
        <c:auto val="1"/>
        <c:lblAlgn val="ctr"/>
        <c:lblOffset val="100"/>
        <c:noMultiLvlLbl val="0"/>
      </c:catAx>
      <c:valAx>
        <c:axId val="55800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0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BAR</a:t>
            </a:r>
            <a:r>
              <a:rPr lang="en-GB" baseline="0"/>
              <a:t>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Roads!$B$4</c:f>
              <c:strCache>
                <c:ptCount val="1"/>
                <c:pt idx="0">
                  <c:v>Year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Roads!$B$5:$B$10</c:f>
              <c:numCache>
                <c:formatCode>General</c:formatCod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8-481E-AD74-2238B9D3931B}"/>
            </c:ext>
          </c:extLst>
        </c:ser>
        <c:ser>
          <c:idx val="1"/>
          <c:order val="1"/>
          <c:tx>
            <c:strRef>
              <c:f>Roads!$C$4</c:f>
              <c:strCache>
                <c:ptCount val="1"/>
                <c:pt idx="0">
                  <c:v>National Highways Length (Kms)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Roads!$C$5:$C$10</c:f>
              <c:numCache>
                <c:formatCode>0</c:formatCode>
                <c:ptCount val="6"/>
                <c:pt idx="0">
                  <c:v>65569</c:v>
                </c:pt>
                <c:pt idx="1">
                  <c:v>66590</c:v>
                </c:pt>
                <c:pt idx="2">
                  <c:v>66590</c:v>
                </c:pt>
                <c:pt idx="3">
                  <c:v>66754</c:v>
                </c:pt>
                <c:pt idx="4">
                  <c:v>70548.429999999993</c:v>
                </c:pt>
                <c:pt idx="5">
                  <c:v>70934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8-481E-AD74-2238B9D3931B}"/>
            </c:ext>
          </c:extLst>
        </c:ser>
        <c:ser>
          <c:idx val="2"/>
          <c:order val="2"/>
          <c:tx>
            <c:strRef>
              <c:f>Roads!$D$4</c:f>
              <c:strCache>
                <c:ptCount val="1"/>
                <c:pt idx="0">
                  <c:v>State highways Length (Kms)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Roads!$D$5:$D$10</c:f>
              <c:numCache>
                <c:formatCode>0</c:formatCode>
                <c:ptCount val="6"/>
                <c:pt idx="0">
                  <c:v>144396</c:v>
                </c:pt>
                <c:pt idx="1">
                  <c:v>148090</c:v>
                </c:pt>
                <c:pt idx="2">
                  <c:v>152235</c:v>
                </c:pt>
                <c:pt idx="3">
                  <c:v>154522</c:v>
                </c:pt>
                <c:pt idx="4">
                  <c:v>158497.37899999999</c:v>
                </c:pt>
                <c:pt idx="5">
                  <c:v>160177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8-481E-AD74-2238B9D3931B}"/>
            </c:ext>
          </c:extLst>
        </c:ser>
        <c:ser>
          <c:idx val="3"/>
          <c:order val="3"/>
          <c:tx>
            <c:strRef>
              <c:f>Roads!$E$4</c:f>
              <c:strCache>
                <c:ptCount val="1"/>
                <c:pt idx="0">
                  <c:v>Urban Roads Length (Kms)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Roads!$E$5:$E$10</c:f>
              <c:numCache>
                <c:formatCode>0</c:formatCode>
                <c:ptCount val="6"/>
                <c:pt idx="0">
                  <c:v>286707</c:v>
                </c:pt>
                <c:pt idx="1">
                  <c:v>291991</c:v>
                </c:pt>
                <c:pt idx="2">
                  <c:v>300580</c:v>
                </c:pt>
                <c:pt idx="3">
                  <c:v>304327</c:v>
                </c:pt>
                <c:pt idx="4">
                  <c:v>373801.97600000002</c:v>
                </c:pt>
                <c:pt idx="5">
                  <c:v>402448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58-481E-AD74-2238B9D3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7481288"/>
        <c:axId val="433200640"/>
      </c:barChart>
      <c:catAx>
        <c:axId val="3774812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00640"/>
        <c:crosses val="autoZero"/>
        <c:auto val="1"/>
        <c:lblAlgn val="ctr"/>
        <c:lblOffset val="100"/>
        <c:noMultiLvlLbl val="0"/>
      </c:catAx>
      <c:valAx>
        <c:axId val="4332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8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</a:t>
            </a:r>
            <a:r>
              <a:rPr lang="en-GB" baseline="0"/>
              <a:t>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'Exchange Rates'!$B$5</c:f>
              <c:strCache>
                <c:ptCount val="1"/>
                <c:pt idx="0">
                  <c:v>US Dollar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'Exchange Rates'!$A$6:$A$20</c:f>
              <c:strCache>
                <c:ptCount val="15"/>
                <c:pt idx="0">
                  <c:v>2000-2001</c:v>
                </c:pt>
                <c:pt idx="1">
                  <c:v>2001-2002</c:v>
                </c:pt>
                <c:pt idx="2">
                  <c:v>2002-2003</c:v>
                </c:pt>
                <c:pt idx="3">
                  <c:v>2003-2004</c:v>
                </c:pt>
                <c:pt idx="4">
                  <c:v>2004-2005</c:v>
                </c:pt>
                <c:pt idx="5">
                  <c:v>2005-2006</c:v>
                </c:pt>
                <c:pt idx="6">
                  <c:v>2006-2007</c:v>
                </c:pt>
                <c:pt idx="7">
                  <c:v>2007-2008</c:v>
                </c:pt>
                <c:pt idx="8">
                  <c:v>2008-2009</c:v>
                </c:pt>
                <c:pt idx="9">
                  <c:v>2009-2010</c:v>
                </c:pt>
                <c:pt idx="10">
                  <c:v>2010-2011</c:v>
                </c:pt>
                <c:pt idx="11">
                  <c:v>2011-2012</c:v>
                </c:pt>
                <c:pt idx="12">
                  <c:v>2012-2013</c:v>
                </c:pt>
                <c:pt idx="13">
                  <c:v>2013-2014</c:v>
                </c:pt>
                <c:pt idx="14">
                  <c:v>2014-2015</c:v>
                </c:pt>
              </c:strCache>
            </c:strRef>
          </c:cat>
          <c:val>
            <c:numRef>
              <c:f>'Exchange Rates'!$B$6:$B$20</c:f>
              <c:numCache>
                <c:formatCode>General</c:formatCode>
                <c:ptCount val="15"/>
                <c:pt idx="0">
                  <c:v>45.68</c:v>
                </c:pt>
                <c:pt idx="1">
                  <c:v>47.69</c:v>
                </c:pt>
                <c:pt idx="2">
                  <c:v>48.4</c:v>
                </c:pt>
                <c:pt idx="3">
                  <c:v>45.95</c:v>
                </c:pt>
                <c:pt idx="4">
                  <c:v>44.93</c:v>
                </c:pt>
                <c:pt idx="5">
                  <c:v>44.27</c:v>
                </c:pt>
                <c:pt idx="6">
                  <c:v>45.29</c:v>
                </c:pt>
                <c:pt idx="7">
                  <c:v>40.26</c:v>
                </c:pt>
                <c:pt idx="8">
                  <c:v>45.99</c:v>
                </c:pt>
                <c:pt idx="9">
                  <c:v>47.42</c:v>
                </c:pt>
                <c:pt idx="10">
                  <c:v>45.58</c:v>
                </c:pt>
                <c:pt idx="11">
                  <c:v>47.92</c:v>
                </c:pt>
                <c:pt idx="12">
                  <c:v>54.41</c:v>
                </c:pt>
                <c:pt idx="13">
                  <c:v>60.5</c:v>
                </c:pt>
                <c:pt idx="14">
                  <c:v>61.14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3-4886-861B-EAFB4F33927D}"/>
            </c:ext>
          </c:extLst>
        </c:ser>
        <c:ser>
          <c:idx val="1"/>
          <c:order val="1"/>
          <c:tx>
            <c:strRef>
              <c:f>'Exchange Rates'!$C$5</c:f>
              <c:strCache>
                <c:ptCount val="1"/>
                <c:pt idx="0">
                  <c:v>Pound Sterling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'Exchange Rates'!$A$6:$A$20</c:f>
              <c:strCache>
                <c:ptCount val="15"/>
                <c:pt idx="0">
                  <c:v>2000-2001</c:v>
                </c:pt>
                <c:pt idx="1">
                  <c:v>2001-2002</c:v>
                </c:pt>
                <c:pt idx="2">
                  <c:v>2002-2003</c:v>
                </c:pt>
                <c:pt idx="3">
                  <c:v>2003-2004</c:v>
                </c:pt>
                <c:pt idx="4">
                  <c:v>2004-2005</c:v>
                </c:pt>
                <c:pt idx="5">
                  <c:v>2005-2006</c:v>
                </c:pt>
                <c:pt idx="6">
                  <c:v>2006-2007</c:v>
                </c:pt>
                <c:pt idx="7">
                  <c:v>2007-2008</c:v>
                </c:pt>
                <c:pt idx="8">
                  <c:v>2008-2009</c:v>
                </c:pt>
                <c:pt idx="9">
                  <c:v>2009-2010</c:v>
                </c:pt>
                <c:pt idx="10">
                  <c:v>2010-2011</c:v>
                </c:pt>
                <c:pt idx="11">
                  <c:v>2011-2012</c:v>
                </c:pt>
                <c:pt idx="12">
                  <c:v>2012-2013</c:v>
                </c:pt>
                <c:pt idx="13">
                  <c:v>2013-2014</c:v>
                </c:pt>
                <c:pt idx="14">
                  <c:v>2014-2015</c:v>
                </c:pt>
              </c:strCache>
            </c:strRef>
          </c:cat>
          <c:val>
            <c:numRef>
              <c:f>'Exchange Rates'!$C$6:$C$20</c:f>
              <c:numCache>
                <c:formatCode>General</c:formatCode>
                <c:ptCount val="15"/>
                <c:pt idx="0">
                  <c:v>67.55</c:v>
                </c:pt>
                <c:pt idx="1">
                  <c:v>68.319999999999993</c:v>
                </c:pt>
                <c:pt idx="2">
                  <c:v>74.819999999999993</c:v>
                </c:pt>
                <c:pt idx="3">
                  <c:v>77.739999999999995</c:v>
                </c:pt>
                <c:pt idx="4">
                  <c:v>82.86</c:v>
                </c:pt>
                <c:pt idx="5">
                  <c:v>79.05</c:v>
                </c:pt>
                <c:pt idx="6">
                  <c:v>85.73</c:v>
                </c:pt>
                <c:pt idx="7">
                  <c:v>80.84</c:v>
                </c:pt>
                <c:pt idx="8">
                  <c:v>78.319999999999993</c:v>
                </c:pt>
                <c:pt idx="9">
                  <c:v>75.89</c:v>
                </c:pt>
                <c:pt idx="10">
                  <c:v>70.89</c:v>
                </c:pt>
                <c:pt idx="11">
                  <c:v>76.38</c:v>
                </c:pt>
                <c:pt idx="12">
                  <c:v>85.98</c:v>
                </c:pt>
                <c:pt idx="13">
                  <c:v>96.3</c:v>
                </c:pt>
                <c:pt idx="14">
                  <c:v>98.57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3-4886-861B-EAFB4F33927D}"/>
            </c:ext>
          </c:extLst>
        </c:ser>
        <c:ser>
          <c:idx val="2"/>
          <c:order val="2"/>
          <c:tx>
            <c:strRef>
              <c:f>'Exchange Rates'!$D$5</c:f>
              <c:strCache>
                <c:ptCount val="1"/>
                <c:pt idx="0">
                  <c:v>Euro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'Exchange Rates'!$A$6:$A$20</c:f>
              <c:strCache>
                <c:ptCount val="15"/>
                <c:pt idx="0">
                  <c:v>2000-2001</c:v>
                </c:pt>
                <c:pt idx="1">
                  <c:v>2001-2002</c:v>
                </c:pt>
                <c:pt idx="2">
                  <c:v>2002-2003</c:v>
                </c:pt>
                <c:pt idx="3">
                  <c:v>2003-2004</c:v>
                </c:pt>
                <c:pt idx="4">
                  <c:v>2004-2005</c:v>
                </c:pt>
                <c:pt idx="5">
                  <c:v>2005-2006</c:v>
                </c:pt>
                <c:pt idx="6">
                  <c:v>2006-2007</c:v>
                </c:pt>
                <c:pt idx="7">
                  <c:v>2007-2008</c:v>
                </c:pt>
                <c:pt idx="8">
                  <c:v>2008-2009</c:v>
                </c:pt>
                <c:pt idx="9">
                  <c:v>2009-2010</c:v>
                </c:pt>
                <c:pt idx="10">
                  <c:v>2010-2011</c:v>
                </c:pt>
                <c:pt idx="11">
                  <c:v>2011-2012</c:v>
                </c:pt>
                <c:pt idx="12">
                  <c:v>2012-2013</c:v>
                </c:pt>
                <c:pt idx="13">
                  <c:v>2013-2014</c:v>
                </c:pt>
                <c:pt idx="14">
                  <c:v>2014-2015</c:v>
                </c:pt>
              </c:strCache>
            </c:strRef>
          </c:cat>
          <c:val>
            <c:numRef>
              <c:f>'Exchange Rates'!$D$6:$D$20</c:f>
              <c:numCache>
                <c:formatCode>General</c:formatCode>
                <c:ptCount val="15"/>
                <c:pt idx="0">
                  <c:v>41.48</c:v>
                </c:pt>
                <c:pt idx="1">
                  <c:v>42.18</c:v>
                </c:pt>
                <c:pt idx="2">
                  <c:v>48.09</c:v>
                </c:pt>
                <c:pt idx="3">
                  <c:v>53.99</c:v>
                </c:pt>
                <c:pt idx="4">
                  <c:v>56.51</c:v>
                </c:pt>
                <c:pt idx="5">
                  <c:v>53.91</c:v>
                </c:pt>
                <c:pt idx="6">
                  <c:v>58.11</c:v>
                </c:pt>
                <c:pt idx="7">
                  <c:v>56.99</c:v>
                </c:pt>
                <c:pt idx="8">
                  <c:v>65.14</c:v>
                </c:pt>
                <c:pt idx="9">
                  <c:v>67.08</c:v>
                </c:pt>
                <c:pt idx="10">
                  <c:v>60.22</c:v>
                </c:pt>
                <c:pt idx="11">
                  <c:v>65.89</c:v>
                </c:pt>
                <c:pt idx="12">
                  <c:v>70.069999999999993</c:v>
                </c:pt>
                <c:pt idx="13">
                  <c:v>81.17</c:v>
                </c:pt>
                <c:pt idx="14">
                  <c:v>77.52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3-4886-861B-EAFB4F33927D}"/>
            </c:ext>
          </c:extLst>
        </c:ser>
        <c:ser>
          <c:idx val="3"/>
          <c:order val="3"/>
          <c:tx>
            <c:strRef>
              <c:f>'Exchange Rates'!$E$5</c:f>
              <c:strCache>
                <c:ptCount val="1"/>
                <c:pt idx="0">
                  <c:v>Yen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'Exchange Rates'!$A$6:$A$20</c:f>
              <c:strCache>
                <c:ptCount val="15"/>
                <c:pt idx="0">
                  <c:v>2000-2001</c:v>
                </c:pt>
                <c:pt idx="1">
                  <c:v>2001-2002</c:v>
                </c:pt>
                <c:pt idx="2">
                  <c:v>2002-2003</c:v>
                </c:pt>
                <c:pt idx="3">
                  <c:v>2003-2004</c:v>
                </c:pt>
                <c:pt idx="4">
                  <c:v>2004-2005</c:v>
                </c:pt>
                <c:pt idx="5">
                  <c:v>2005-2006</c:v>
                </c:pt>
                <c:pt idx="6">
                  <c:v>2006-2007</c:v>
                </c:pt>
                <c:pt idx="7">
                  <c:v>2007-2008</c:v>
                </c:pt>
                <c:pt idx="8">
                  <c:v>2008-2009</c:v>
                </c:pt>
                <c:pt idx="9">
                  <c:v>2009-2010</c:v>
                </c:pt>
                <c:pt idx="10">
                  <c:v>2010-2011</c:v>
                </c:pt>
                <c:pt idx="11">
                  <c:v>2011-2012</c:v>
                </c:pt>
                <c:pt idx="12">
                  <c:v>2012-2013</c:v>
                </c:pt>
                <c:pt idx="13">
                  <c:v>2013-2014</c:v>
                </c:pt>
                <c:pt idx="14">
                  <c:v>2014-2015</c:v>
                </c:pt>
              </c:strCache>
            </c:strRef>
          </c:cat>
          <c:val>
            <c:numRef>
              <c:f>'Exchange Rates'!$E$6:$E$20</c:f>
              <c:numCache>
                <c:formatCode>General</c:formatCode>
                <c:ptCount val="15"/>
                <c:pt idx="0">
                  <c:v>0.41</c:v>
                </c:pt>
                <c:pt idx="1">
                  <c:v>0.38</c:v>
                </c:pt>
                <c:pt idx="2">
                  <c:v>0.4</c:v>
                </c:pt>
                <c:pt idx="3">
                  <c:v>0.41</c:v>
                </c:pt>
                <c:pt idx="4">
                  <c:v>0.42</c:v>
                </c:pt>
                <c:pt idx="5">
                  <c:v>0.39</c:v>
                </c:pt>
                <c:pt idx="6">
                  <c:v>0.39</c:v>
                </c:pt>
                <c:pt idx="7">
                  <c:v>0.35</c:v>
                </c:pt>
                <c:pt idx="8">
                  <c:v>0.46</c:v>
                </c:pt>
                <c:pt idx="9">
                  <c:v>0.51</c:v>
                </c:pt>
                <c:pt idx="10">
                  <c:v>0.53</c:v>
                </c:pt>
                <c:pt idx="11">
                  <c:v>0.61</c:v>
                </c:pt>
                <c:pt idx="12">
                  <c:v>0.66</c:v>
                </c:pt>
                <c:pt idx="13">
                  <c:v>0.6</c:v>
                </c:pt>
                <c:pt idx="14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C3-4886-861B-EAFB4F33927D}"/>
            </c:ext>
          </c:extLst>
        </c:ser>
        <c:ser>
          <c:idx val="4"/>
          <c:order val="4"/>
          <c:tx>
            <c:strRef>
              <c:f>'Exchange Rates'!$F$5</c:f>
              <c:strCache>
                <c:ptCount val="1"/>
                <c:pt idx="0">
                  <c:v>Canadian Dollar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'Exchange Rates'!$A$6:$A$20</c:f>
              <c:strCache>
                <c:ptCount val="15"/>
                <c:pt idx="0">
                  <c:v>2000-2001</c:v>
                </c:pt>
                <c:pt idx="1">
                  <c:v>2001-2002</c:v>
                </c:pt>
                <c:pt idx="2">
                  <c:v>2002-2003</c:v>
                </c:pt>
                <c:pt idx="3">
                  <c:v>2003-2004</c:v>
                </c:pt>
                <c:pt idx="4">
                  <c:v>2004-2005</c:v>
                </c:pt>
                <c:pt idx="5">
                  <c:v>2005-2006</c:v>
                </c:pt>
                <c:pt idx="6">
                  <c:v>2006-2007</c:v>
                </c:pt>
                <c:pt idx="7">
                  <c:v>2007-2008</c:v>
                </c:pt>
                <c:pt idx="8">
                  <c:v>2008-2009</c:v>
                </c:pt>
                <c:pt idx="9">
                  <c:v>2009-2010</c:v>
                </c:pt>
                <c:pt idx="10">
                  <c:v>2010-2011</c:v>
                </c:pt>
                <c:pt idx="11">
                  <c:v>2011-2012</c:v>
                </c:pt>
                <c:pt idx="12">
                  <c:v>2012-2013</c:v>
                </c:pt>
                <c:pt idx="13">
                  <c:v>2013-2014</c:v>
                </c:pt>
                <c:pt idx="14">
                  <c:v>2014-2015</c:v>
                </c:pt>
              </c:strCache>
            </c:strRef>
          </c:cat>
          <c:val>
            <c:numRef>
              <c:f>'Exchange Rates'!$F$6:$F$20</c:f>
              <c:numCache>
                <c:formatCode>General</c:formatCode>
                <c:ptCount val="15"/>
                <c:pt idx="0">
                  <c:v>30.38</c:v>
                </c:pt>
                <c:pt idx="1">
                  <c:v>30.47</c:v>
                </c:pt>
                <c:pt idx="2">
                  <c:v>31.25</c:v>
                </c:pt>
                <c:pt idx="3">
                  <c:v>33.99</c:v>
                </c:pt>
                <c:pt idx="4">
                  <c:v>35.21</c:v>
                </c:pt>
                <c:pt idx="5">
                  <c:v>37.14</c:v>
                </c:pt>
                <c:pt idx="6">
                  <c:v>39.770000000000003</c:v>
                </c:pt>
                <c:pt idx="7">
                  <c:v>39.04</c:v>
                </c:pt>
                <c:pt idx="8">
                  <c:v>40.880000000000003</c:v>
                </c:pt>
                <c:pt idx="9">
                  <c:v>43.49</c:v>
                </c:pt>
                <c:pt idx="10">
                  <c:v>44.84</c:v>
                </c:pt>
                <c:pt idx="11">
                  <c:v>48.31</c:v>
                </c:pt>
                <c:pt idx="12">
                  <c:v>54.35</c:v>
                </c:pt>
                <c:pt idx="13">
                  <c:v>57.35</c:v>
                </c:pt>
                <c:pt idx="14">
                  <c:v>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C3-4886-861B-EAFB4F33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641040"/>
        <c:axId val="561637080"/>
      </c:lineChart>
      <c:catAx>
        <c:axId val="5616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37080"/>
        <c:crosses val="autoZero"/>
        <c:auto val="1"/>
        <c:lblAlgn val="ctr"/>
        <c:lblOffset val="100"/>
        <c:noMultiLvlLbl val="0"/>
      </c:catAx>
      <c:valAx>
        <c:axId val="56163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4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Practice!$B$1</c:f>
              <c:strCache>
                <c:ptCount val="1"/>
                <c:pt idx="0">
                  <c:v>Sales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Practice!$A$2:$A$13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Practice!$B$2:$B$13</c:f>
              <c:numCache>
                <c:formatCode>General</c:formatCode>
                <c:ptCount val="12"/>
                <c:pt idx="0">
                  <c:v>25000</c:v>
                </c:pt>
                <c:pt idx="1">
                  <c:v>30000</c:v>
                </c:pt>
                <c:pt idx="2">
                  <c:v>28000</c:v>
                </c:pt>
                <c:pt idx="3">
                  <c:v>35000</c:v>
                </c:pt>
                <c:pt idx="4">
                  <c:v>40000</c:v>
                </c:pt>
                <c:pt idx="5">
                  <c:v>37000</c:v>
                </c:pt>
                <c:pt idx="6">
                  <c:v>42000</c:v>
                </c:pt>
                <c:pt idx="7">
                  <c:v>39000</c:v>
                </c:pt>
                <c:pt idx="8">
                  <c:v>45000</c:v>
                </c:pt>
                <c:pt idx="9">
                  <c:v>47000</c:v>
                </c:pt>
                <c:pt idx="10">
                  <c:v>43000</c:v>
                </c:pt>
                <c:pt idx="11">
                  <c:v>48000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B-4488-A78D-9DB7BD8E57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61640680"/>
        <c:axId val="561636720"/>
      </c:lineChart>
      <c:catAx>
        <c:axId val="5616406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36720"/>
        <c:crosses val="autoZero"/>
        <c:auto val="1"/>
        <c:lblAlgn val="ctr"/>
        <c:lblOffset val="100"/>
        <c:noMultiLvlLbl val="0"/>
      </c:catAx>
      <c:valAx>
        <c:axId val="5616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4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62585486673321"/>
          <c:y val="0.20432038834951458"/>
          <c:w val="0.81728024841965174"/>
          <c:h val="0.707338506230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Practice!$B$1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Practice!$A$2:$A$13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Practice!$B$2:$B$13</c:f>
              <c:numCache>
                <c:formatCode>General</c:formatCode>
                <c:ptCount val="12"/>
                <c:pt idx="0">
                  <c:v>25000</c:v>
                </c:pt>
                <c:pt idx="1">
                  <c:v>30000</c:v>
                </c:pt>
                <c:pt idx="2">
                  <c:v>28000</c:v>
                </c:pt>
                <c:pt idx="3">
                  <c:v>35000</c:v>
                </c:pt>
                <c:pt idx="4">
                  <c:v>40000</c:v>
                </c:pt>
                <c:pt idx="5">
                  <c:v>37000</c:v>
                </c:pt>
                <c:pt idx="6">
                  <c:v>42000</c:v>
                </c:pt>
                <c:pt idx="7">
                  <c:v>39000</c:v>
                </c:pt>
                <c:pt idx="8">
                  <c:v>45000</c:v>
                </c:pt>
                <c:pt idx="9">
                  <c:v>47000</c:v>
                </c:pt>
                <c:pt idx="10">
                  <c:v>43000</c:v>
                </c:pt>
                <c:pt idx="1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6-4911-AD12-19E062BFD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6429744"/>
        <c:axId val="136430824"/>
      </c:barChart>
      <c:catAx>
        <c:axId val="13642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0824"/>
        <c:crosses val="autoZero"/>
        <c:auto val="1"/>
        <c:lblAlgn val="ctr"/>
        <c:lblOffset val="100"/>
        <c:noMultiLvlLbl val="0"/>
      </c:catAx>
      <c:valAx>
        <c:axId val="13643082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/>
                  <a:t>sales</a:t>
                </a:r>
              </a:p>
            </c:rich>
          </c:tx>
          <c:layout>
            <c:manualLayout>
              <c:xMode val="edge"/>
              <c:yMode val="edge"/>
              <c:x val="0"/>
              <c:y val="0.46485857350355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642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Practice!$B$1</c:f>
              <c:strCache>
                <c:ptCount val="1"/>
                <c:pt idx="0">
                  <c:v>Sales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Practice!$A$2:$A$13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Practice!$B$2:$B$13</c:f>
              <c:numCache>
                <c:formatCode>General</c:formatCode>
                <c:ptCount val="12"/>
                <c:pt idx="0">
                  <c:v>25000</c:v>
                </c:pt>
                <c:pt idx="1">
                  <c:v>30000</c:v>
                </c:pt>
                <c:pt idx="2">
                  <c:v>28000</c:v>
                </c:pt>
                <c:pt idx="3">
                  <c:v>35000</c:v>
                </c:pt>
                <c:pt idx="4">
                  <c:v>40000</c:v>
                </c:pt>
                <c:pt idx="5">
                  <c:v>37000</c:v>
                </c:pt>
                <c:pt idx="6">
                  <c:v>42000</c:v>
                </c:pt>
                <c:pt idx="7">
                  <c:v>39000</c:v>
                </c:pt>
                <c:pt idx="8">
                  <c:v>45000</c:v>
                </c:pt>
                <c:pt idx="9">
                  <c:v>47000</c:v>
                </c:pt>
                <c:pt idx="10">
                  <c:v>43000</c:v>
                </c:pt>
                <c:pt idx="1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5-4E9C-AA27-D630F70773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Practice!$B$1</c:f>
              <c:strCache>
                <c:ptCount val="1"/>
                <c:pt idx="0">
                  <c:v>Sales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Practice!$A$2:$A$13</c15:sqref>
                  </c15:fullRef>
                </c:ext>
              </c:extLst>
              <c:f>Practice!$A$5:$A$7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Practice!$B$2:$B$13</c15:sqref>
                  </c15:fullRef>
                </c:ext>
              </c:extLst>
              <c:f>Practice!$B$5:$B$7</c:f>
              <c:numCache>
                <c:formatCode>General</c:formatCode>
                <c:ptCount val="3"/>
                <c:pt idx="0">
                  <c:v>35000</c:v>
                </c:pt>
                <c:pt idx="1">
                  <c:v>40000</c:v>
                </c:pt>
                <c:pt idx="2">
                  <c:v>37000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B1B9-466A-B6DD-8A1DC0F139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COMBO</a:t>
            </a:r>
            <a:r>
              <a:rPr lang="en-GB" baseline="0"/>
              <a:t>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Practice!$B$1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Practice!$A$2:$A$13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Practice!$B$2:$B$13</c:f>
              <c:numCache>
                <c:formatCode>General</c:formatCode>
                <c:ptCount val="12"/>
                <c:pt idx="0">
                  <c:v>25000</c:v>
                </c:pt>
                <c:pt idx="1">
                  <c:v>30000</c:v>
                </c:pt>
                <c:pt idx="2">
                  <c:v>28000</c:v>
                </c:pt>
                <c:pt idx="3">
                  <c:v>35000</c:v>
                </c:pt>
                <c:pt idx="4">
                  <c:v>40000</c:v>
                </c:pt>
                <c:pt idx="5">
                  <c:v>37000</c:v>
                </c:pt>
                <c:pt idx="6">
                  <c:v>42000</c:v>
                </c:pt>
                <c:pt idx="7">
                  <c:v>39000</c:v>
                </c:pt>
                <c:pt idx="8">
                  <c:v>45000</c:v>
                </c:pt>
                <c:pt idx="9">
                  <c:v>47000</c:v>
                </c:pt>
                <c:pt idx="10">
                  <c:v>43000</c:v>
                </c:pt>
                <c:pt idx="1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C-4BB1-9B4A-C2ABBCD4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032896"/>
        <c:axId val="599033616"/>
      </c:barChart>
      <c:lineChart>
        <c:grouping val="standard"/>
        <c:varyColors val="0"/>
        <c:ser>
          <c:idx val="1"/>
          <c:order val="1"/>
          <c:tx>
            <c:strRef>
              <c:f>Practice!$C$1</c:f>
              <c:strCache>
                <c:ptCount val="1"/>
                <c:pt idx="0">
                  <c:v>cumulative 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Practice!$A$2:$A$13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Practice!$C$2:$C$13</c:f>
              <c:numCache>
                <c:formatCode>General</c:formatCode>
                <c:ptCount val="12"/>
                <c:pt idx="0">
                  <c:v>25000</c:v>
                </c:pt>
                <c:pt idx="1">
                  <c:v>55000</c:v>
                </c:pt>
                <c:pt idx="2">
                  <c:v>83000</c:v>
                </c:pt>
                <c:pt idx="3">
                  <c:v>118000</c:v>
                </c:pt>
                <c:pt idx="4">
                  <c:v>158000</c:v>
                </c:pt>
                <c:pt idx="5">
                  <c:v>195000</c:v>
                </c:pt>
                <c:pt idx="6">
                  <c:v>237000</c:v>
                </c:pt>
                <c:pt idx="7">
                  <c:v>276000</c:v>
                </c:pt>
                <c:pt idx="8">
                  <c:v>321000</c:v>
                </c:pt>
                <c:pt idx="9">
                  <c:v>368000</c:v>
                </c:pt>
                <c:pt idx="10">
                  <c:v>411000</c:v>
                </c:pt>
                <c:pt idx="11">
                  <c:v>459000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C-4BB1-9B4A-C2ABBCD4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032896"/>
        <c:axId val="599033616"/>
      </c:lineChart>
      <c:catAx>
        <c:axId val="5990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33616"/>
        <c:auto val="1"/>
        <c:lblAlgn val="ctr"/>
        <c:lblOffset val="100"/>
        <c:noMultiLvlLbl val="0"/>
      </c:catAx>
      <c:valAx>
        <c:axId val="5990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3289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297180</xdr:colOff>
      <xdr:row>4</xdr:row>
      <xdr:rowOff>0</xdr:rowOff>
    </xdr:from>
    <xdr:to>
      <xdr:col>21</xdr:col>
      <xdr:colOff>601980</xdr:colOff>
      <xdr:row>15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84140A-6D88-C973-67C0-C51E4FCF4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8</xdr:row>
      <xdr:rowOff>581025</xdr:rowOff>
    </xdr:from>
    <xdr:to>
      <xdr:col>14</xdr:col>
      <xdr:colOff>409575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</xdr:colOff>
      <xdr:row>2</xdr:row>
      <xdr:rowOff>158115</xdr:rowOff>
    </xdr:from>
    <xdr:to>
      <xdr:col>19</xdr:col>
      <xdr:colOff>255270</xdr:colOff>
      <xdr:row>16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F9BF6B-C6E5-6653-3E66-A2D1E219E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3</xdr:row>
      <xdr:rowOff>180975</xdr:rowOff>
    </xdr:from>
    <xdr:to>
      <xdr:col>11</xdr:col>
      <xdr:colOff>466725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26</xdr:row>
      <xdr:rowOff>142876</xdr:rowOff>
    </xdr:from>
    <xdr:to>
      <xdr:col>11</xdr:col>
      <xdr:colOff>142874</xdr:colOff>
      <xdr:row>46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190499</xdr:colOff>
      <xdr:row>7</xdr:row>
      <xdr:rowOff>123825</xdr:rowOff>
    </xdr:from>
    <xdr:to>
      <xdr:col>18</xdr:col>
      <xdr:colOff>523874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7</xdr:row>
      <xdr:rowOff>19050</xdr:rowOff>
    </xdr:from>
    <xdr:to>
      <xdr:col>13</xdr:col>
      <xdr:colOff>333375</xdr:colOff>
      <xdr:row>20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600074</xdr:colOff>
      <xdr:row>5</xdr:row>
      <xdr:rowOff>161924</xdr:rowOff>
    </xdr:from>
    <xdr:to>
      <xdr:col>19</xdr:col>
      <xdr:colOff>361949</xdr:colOff>
      <xdr:row>15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196850</xdr:colOff>
      <xdr:row>1</xdr:row>
      <xdr:rowOff>95250</xdr:rowOff>
    </xdr:from>
    <xdr:to>
      <xdr:col>16</xdr:col>
      <xdr:colOff>114300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524A1-5592-FD9F-B7FA-58D107DB4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2</xdr:row>
      <xdr:rowOff>38100</xdr:rowOff>
    </xdr:from>
    <xdr:to>
      <xdr:col>10</xdr:col>
      <xdr:colOff>196850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70C6DD-9F21-FE1D-74DD-80C11EC8F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669925</xdr:colOff>
      <xdr:row>4</xdr:row>
      <xdr:rowOff>76200</xdr:rowOff>
    </xdr:from>
    <xdr:to>
      <xdr:col>12</xdr:col>
      <xdr:colOff>498475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DF239-34CB-F4D8-A2C9-0DBE654F4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0</xdr:row>
      <xdr:rowOff>120650</xdr:rowOff>
    </xdr:from>
    <xdr:to>
      <xdr:col>9</xdr:col>
      <xdr:colOff>215900</xdr:colOff>
      <xdr:row>13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8F9FA7-C322-2814-6DEA-3EF85202E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460375</xdr:colOff>
      <xdr:row>0</xdr:row>
      <xdr:rowOff>127000</xdr:rowOff>
    </xdr:from>
    <xdr:to>
      <xdr:col>15</xdr:col>
      <xdr:colOff>508000</xdr:colOff>
      <xdr:row>14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620E5F-5513-75C3-DABD-320EEEB27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203200</xdr:colOff>
      <xdr:row>0</xdr:row>
      <xdr:rowOff>82550</xdr:rowOff>
    </xdr:from>
    <xdr:to>
      <xdr:col>23</xdr:col>
      <xdr:colOff>50800</xdr:colOff>
      <xdr:row>14</xdr:row>
      <xdr:rowOff>44450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9AFA18-B82D-FC2B-B995-0EE017864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146049</xdr:colOff>
      <xdr:row>43</xdr:row>
      <xdr:rowOff>44450</xdr:rowOff>
    </xdr:from>
    <xdr:to>
      <xdr:col>14</xdr:col>
      <xdr:colOff>336550</xdr:colOff>
      <xdr:row>58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9785BE-24E5-B48D-B638-55CE63C61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1196975</xdr:colOff>
      <xdr:row>43</xdr:row>
      <xdr:rowOff>31750</xdr:rowOff>
    </xdr:from>
    <xdr:to>
      <xdr:col>7</xdr:col>
      <xdr:colOff>346075</xdr:colOff>
      <xdr:row>58</xdr:row>
      <xdr:rowOff>12700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52BBA51-7401-705D-0437-F0A926D0C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" refreshedDate="45937.766815625" createdVersion="3" refreshedVersion="3" minRefreshableVersion="3" recordCount="30" xr:uid="{00000000-000A-0000-FFFF-FFFF04000000}">
  <cacheSource type="worksheet">
    <worksheetSource ref="A1:L31" sheet="Sales report"/>
  </cacheSource>
  <cacheFields count="12">
    <cacheField name="Row ID" numFmtId="0">
      <sharedItems containsSemiMixedTypes="0" containsString="0" containsNumber="1" containsInteger="1" minValue="1003" maxValue="1447"/>
    </cacheField>
    <cacheField name="Order ID" numFmtId="0">
      <sharedItems/>
    </cacheField>
    <cacheField name="Customer ID" numFmtId="0">
      <sharedItems/>
    </cacheField>
    <cacheField name="Customer Name" numFmtId="0">
      <sharedItems count="22">
        <s v="Zuschuss Carroll"/>
        <s v="Jim Radford"/>
        <s v="Cyma Kinney"/>
        <s v="Stefania Perrino"/>
        <s v="Joel Eaton"/>
        <s v="Rick Hansen"/>
        <s v="Karen Daniels"/>
        <s v="Adrian Barton"/>
        <s v="Noel Staavos"/>
        <s v="Ann Blume"/>
        <s v="Sibella Parks"/>
        <s v="Julie Kriz"/>
        <s v="Maurice Satty"/>
        <s v="Shirley Daniels"/>
        <s v="Rick Wilson"/>
        <s v="Beth Paige"/>
        <s v="Gary Mitchum"/>
        <s v="Harry Marie"/>
        <s v="Ross Baird"/>
        <s v="Theresa Swint"/>
        <s v="Dan Campbell"/>
        <s v="Liz Thompson"/>
      </sharedItems>
    </cacheField>
    <cacheField name="Segment" numFmtId="0">
      <sharedItems/>
    </cacheField>
    <cacheField name="City" numFmtId="0">
      <sharedItems count="16">
        <s v="Houston"/>
        <s v="Colorado Springs"/>
        <s v="Aurora"/>
        <s v="Philadelphia"/>
        <s v="Amarillo"/>
        <s v="New York City"/>
        <s v="Yonkers"/>
        <s v="Phoenix"/>
        <s v="Chicago"/>
        <s v="Tucson"/>
        <s v="Fort Worth"/>
        <s v="Mesa"/>
        <s v="Evanston"/>
        <s v="Columbus"/>
        <s v="Charlotte"/>
        <s v="Toledo"/>
      </sharedItems>
    </cacheField>
    <cacheField name="State" numFmtId="0">
      <sharedItems count="8">
        <s v="Texas"/>
        <s v="Colorado"/>
        <s v="Illinois"/>
        <s v="Pennsylvania"/>
        <s v="New York"/>
        <s v="Arizona"/>
        <s v="Ohio"/>
        <s v="North Carolina"/>
      </sharedItems>
    </cacheField>
    <cacheField name="Category" numFmtId="0">
      <sharedItems/>
    </cacheField>
    <cacheField name="Sales" numFmtId="0">
      <sharedItems containsSemiMixedTypes="0" containsString="0" containsNumber="1" minValue="44.847999999999992" maxValue="2453.4299999999998"/>
    </cacheField>
    <cacheField name="Quantity" numFmtId="0">
      <sharedItems containsSemiMixedTypes="0" containsString="0" containsNumber="1" containsInteger="1" minValue="2" maxValue="9"/>
    </cacheField>
    <cacheField name="Discount" numFmtId="0">
      <sharedItems containsSemiMixedTypes="0" containsString="0" containsNumber="1" minValue="0.2" maxValue="0.8"/>
    </cacheField>
    <cacheField name="Profit" numFmtId="166">
      <sharedItems containsSemiMixedTypes="0" containsString="0" containsNumber="1" minValue="-290.87520000000001" maxValue="762.184499999999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" refreshedDate="45937.77144675926" createdVersion="3" refreshedVersion="3" minRefreshableVersion="3" recordCount="12" xr:uid="{00000000-000A-0000-FFFF-FFFF0A000000}">
  <cacheSource type="worksheet">
    <worksheetSource ref="A1:A13" sheet="Practice"/>
  </cacheSource>
  <cacheFields count="1">
    <cacheField name="Month    Sales (₹)" numFmtId="0">
      <sharedItems count="12">
        <s v="Jan      25000"/>
        <s v="Feb      30000"/>
        <s v="Mar      28000"/>
        <s v="Apr      35000"/>
        <s v="May      40000"/>
        <s v="Jun      37000"/>
        <s v="Jul      42000"/>
        <s v="Aug      39000"/>
        <s v="Sep      45000"/>
        <s v="Oct      47000"/>
        <s v="Nov      43000"/>
        <s v="Dec      48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n v="1200"/>
    <s v="CA-2016-130946"/>
    <s v="ZC-21910"/>
    <x v="0"/>
    <s v="Consumer"/>
    <x v="0"/>
    <x v="0"/>
    <s v="Office Supplies"/>
    <n v="1088.7919999999997"/>
    <n v="4"/>
    <n v="0.8"/>
    <n v="9.1580000000000013"/>
  </r>
  <r>
    <n v="1370"/>
    <s v="US-2015-103471"/>
    <s v="JR-15670"/>
    <x v="1"/>
    <s v="Consumer"/>
    <x v="1"/>
    <x v="1"/>
    <s v="Furniture"/>
    <n v="590.05800000000011"/>
    <n v="7"/>
    <n v="0.7"/>
    <n v="12.912900000000004"/>
  </r>
  <r>
    <n v="1395"/>
    <s v="US-2017-117247"/>
    <s v="CK-12760"/>
    <x v="2"/>
    <s v="Corporate"/>
    <x v="2"/>
    <x v="2"/>
    <s v="Furniture"/>
    <n v="652.45000000000005"/>
    <n v="5"/>
    <n v="0.5"/>
    <n v="11.4452"/>
  </r>
  <r>
    <n v="1220"/>
    <s v="US-2017-118087"/>
    <s v="SP-20620"/>
    <x v="3"/>
    <s v="Corporate"/>
    <x v="3"/>
    <x v="3"/>
    <s v="Technology"/>
    <n v="1931.9579999999999"/>
    <n v="7"/>
    <n v="0.4"/>
    <n v="762.18449999999984"/>
  </r>
  <r>
    <n v="1439"/>
    <s v="CA-2015-139731"/>
    <s v="JE-15745"/>
    <x v="4"/>
    <s v="Consumer"/>
    <x v="4"/>
    <x v="0"/>
    <s v="Furniture"/>
    <n v="2453.4299999999998"/>
    <n v="5"/>
    <n v="0.3"/>
    <n v="-290.87520000000001"/>
  </r>
  <r>
    <n v="1003"/>
    <s v="CA-2015-124891"/>
    <s v="RH-19495"/>
    <x v="5"/>
    <s v="Consumer"/>
    <x v="5"/>
    <x v="4"/>
    <s v="Furniture"/>
    <n v="1090.7819999999999"/>
    <n v="7"/>
    <n v="0.4"/>
    <n v="9.3312000000000008"/>
  </r>
  <r>
    <n v="1083"/>
    <s v="US-2016-143819"/>
    <s v="KD-16270"/>
    <x v="6"/>
    <s v="Consumer"/>
    <x v="6"/>
    <x v="4"/>
    <s v="Furniture"/>
    <n v="836.59199999999998"/>
    <n v="8"/>
    <n v="0.4"/>
    <n v="92.083500000000015"/>
  </r>
  <r>
    <n v="1410"/>
    <s v="US-2016-122245"/>
    <s v="AB-10105"/>
    <x v="7"/>
    <s v="Consumer"/>
    <x v="7"/>
    <x v="5"/>
    <s v="Furniture"/>
    <n v="393.16500000000002"/>
    <n v="3"/>
    <n v="0.5"/>
    <n v="40.353599999999986"/>
  </r>
  <r>
    <n v="1045"/>
    <s v="CA-2017-115651"/>
    <s v="NS-18640"/>
    <x v="8"/>
    <s v="Corporate"/>
    <x v="8"/>
    <x v="2"/>
    <s v="Office Supplies"/>
    <n v="58.463999999999977"/>
    <n v="9"/>
    <n v="0.8"/>
    <n v="2.4779999999999989"/>
  </r>
  <r>
    <n v="1368"/>
    <s v="US-2017-155425"/>
    <s v="AB-10600"/>
    <x v="9"/>
    <s v="Corporate"/>
    <x v="9"/>
    <x v="5"/>
    <s v="Furniture"/>
    <n v="899.13600000000008"/>
    <n v="4"/>
    <n v="0.2"/>
    <n v="-3.5207999999999995"/>
  </r>
  <r>
    <n v="1272"/>
    <s v="US-2016-103646"/>
    <s v="SP-20545"/>
    <x v="10"/>
    <s v="Corporate"/>
    <x v="8"/>
    <x v="2"/>
    <s v="Office Supplies"/>
    <n v="48.791999999999987"/>
    <n v="3"/>
    <n v="0.8"/>
    <n v="20.584999999999994"/>
  </r>
  <r>
    <n v="1382"/>
    <s v="US-2016-100566"/>
    <s v="JK-16120"/>
    <x v="11"/>
    <s v="Home Office"/>
    <x v="2"/>
    <x v="2"/>
    <s v="Furniture"/>
    <n v="83.951999999999998"/>
    <n v="3"/>
    <n v="0.6"/>
    <n v="5.9990000000000023"/>
  </r>
  <r>
    <n v="1275"/>
    <s v="CA-2016-119186"/>
    <s v="MS-17710"/>
    <x v="12"/>
    <s v="Consumer"/>
    <x v="10"/>
    <x v="0"/>
    <s v="Furniture"/>
    <n v="388.42999999999995"/>
    <n v="5"/>
    <n v="0.3"/>
    <n v="27.309599999999989"/>
  </r>
  <r>
    <n v="1447"/>
    <s v="CA-2017-102337"/>
    <s v="SD-20485"/>
    <x v="13"/>
    <s v="Home Office"/>
    <x v="8"/>
    <x v="2"/>
    <s v="Furniture"/>
    <n v="470.30199999999996"/>
    <n v="7"/>
    <n v="0.3"/>
    <n v="46.574999999999996"/>
  </r>
  <r>
    <n v="1426"/>
    <s v="CA-2015-124800"/>
    <s v="RW-19540"/>
    <x v="14"/>
    <s v="Corporate"/>
    <x v="11"/>
    <x v="5"/>
    <s v="Office Supplies"/>
    <n v="363.64800000000002"/>
    <n v="4"/>
    <n v="0.2"/>
    <n v="4.068699999999998"/>
  </r>
  <r>
    <n v="1351"/>
    <s v="CA-2014-153976"/>
    <s v="BP-11290"/>
    <x v="15"/>
    <s v="Consumer"/>
    <x v="12"/>
    <x v="2"/>
    <s v="Furniture"/>
    <n v="258.279"/>
    <n v="3"/>
    <n v="0.3"/>
    <n v="356.04139999999995"/>
  </r>
  <r>
    <n v="1273"/>
    <s v="US-2016-103646"/>
    <s v="SP-20545"/>
    <x v="10"/>
    <s v="Corporate"/>
    <x v="8"/>
    <x v="2"/>
    <s v="Office Supplies"/>
    <n v="44.847999999999992"/>
    <n v="8"/>
    <n v="0.8"/>
    <n v="36.851999999999997"/>
  </r>
  <r>
    <n v="1365"/>
    <s v="US-2017-155425"/>
    <s v="AB-10600"/>
    <x v="9"/>
    <s v="Corporate"/>
    <x v="9"/>
    <x v="5"/>
    <s v="Technology"/>
    <n v="95.994000000000014"/>
    <n v="2"/>
    <n v="0.7"/>
    <n v="15.552000000000001"/>
  </r>
  <r>
    <n v="1423"/>
    <s v="CA-2015-124800"/>
    <s v="RW-19540"/>
    <x v="14"/>
    <s v="Corporate"/>
    <x v="11"/>
    <x v="5"/>
    <s v="Office Supplies"/>
    <n v="77.031000000000006"/>
    <n v="9"/>
    <n v="0.7"/>
    <n v="6.7008000000000001"/>
  </r>
  <r>
    <n v="1403"/>
    <s v="US-2016-161396"/>
    <s v="GM-14455"/>
    <x v="16"/>
    <s v="Home Office"/>
    <x v="13"/>
    <x v="6"/>
    <s v="Furniture"/>
    <n v="205.17599999999999"/>
    <n v="2"/>
    <n v="0.4"/>
    <n v="63.886200000000002"/>
  </r>
  <r>
    <n v="1363"/>
    <s v="CA-2017-125199"/>
    <s v="HM-14860"/>
    <x v="17"/>
    <s v="Corporate"/>
    <x v="3"/>
    <x v="3"/>
    <s v="Technology"/>
    <n v="309.57600000000002"/>
    <n v="4"/>
    <n v="0.4"/>
    <n v="2.4990000000000023"/>
  </r>
  <r>
    <n v="1213"/>
    <s v="US-2017-118087"/>
    <s v="SP-20620"/>
    <x v="3"/>
    <s v="Corporate"/>
    <x v="3"/>
    <x v="3"/>
    <s v="Furniture"/>
    <n v="141.37199999999999"/>
    <n v="2"/>
    <n v="0.3"/>
    <n v="156.42899999999997"/>
  </r>
  <r>
    <n v="1421"/>
    <s v="CA-2015-124800"/>
    <s v="RW-19540"/>
    <x v="14"/>
    <s v="Corporate"/>
    <x v="11"/>
    <x v="5"/>
    <s v="Office Supplies"/>
    <n v="72.588000000000008"/>
    <n v="2"/>
    <n v="0.7"/>
    <n v="8.8686000000000007"/>
  </r>
  <r>
    <n v="1259"/>
    <s v="US-2016-168620"/>
    <s v="RB-19795"/>
    <x v="18"/>
    <s v="Home Office"/>
    <x v="14"/>
    <x v="7"/>
    <s v="Office Supplies"/>
    <n v="540.048"/>
    <n v="3"/>
    <n v="0.2"/>
    <n v="316.88249999999999"/>
  </r>
  <r>
    <n v="1067"/>
    <s v="CA-2015-161263"/>
    <s v="TS-21160"/>
    <x v="19"/>
    <s v="Corporate"/>
    <x v="15"/>
    <x v="6"/>
    <s v="Office Supplies"/>
    <n v="55.470000000000006"/>
    <n v="5"/>
    <n v="0.7"/>
    <n v="648.56240000000003"/>
  </r>
  <r>
    <n v="1356"/>
    <s v="US-2014-160444"/>
    <s v="DC-12850"/>
    <x v="20"/>
    <s v="Consumer"/>
    <x v="0"/>
    <x v="0"/>
    <s v="Office Supplies"/>
    <n v="220.77600000000001"/>
    <n v="3"/>
    <n v="0.2"/>
    <n v="2.1728000000000001"/>
  </r>
  <r>
    <n v="1396"/>
    <s v="US-2017-117247"/>
    <s v="CK-12760"/>
    <x v="2"/>
    <s v="Corporate"/>
    <x v="2"/>
    <x v="2"/>
    <s v="Furniture"/>
    <n v="66.644999999999996"/>
    <n v="3"/>
    <n v="0.5"/>
    <n v="4.2804000000000002"/>
  </r>
  <r>
    <n v="1431"/>
    <s v="CA-2017-122700"/>
    <s v="LT-17110"/>
    <x v="21"/>
    <s v="Consumer"/>
    <x v="13"/>
    <x v="6"/>
    <s v="Technology"/>
    <n v="220.75200000000001"/>
    <n v="8"/>
    <n v="0.4"/>
    <n v="5.4432"/>
  </r>
  <r>
    <n v="1446"/>
    <s v="CA-2017-102337"/>
    <s v="SD-20485"/>
    <x v="13"/>
    <s v="Home Office"/>
    <x v="8"/>
    <x v="2"/>
    <s v="Office Supplies"/>
    <n v="164.73599999999999"/>
    <n v="4"/>
    <n v="0.2"/>
    <n v="20.576399999999996"/>
  </r>
  <r>
    <n v="1406"/>
    <s v="US-2014-118486"/>
    <s v="SD-20485"/>
    <x v="13"/>
    <s v="Home Office"/>
    <x v="3"/>
    <x v="3"/>
    <s v="Furniture"/>
    <n v="154.76400000000001"/>
    <n v="3"/>
    <n v="0.4"/>
    <n v="-9.87240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9" firstHeaderRow="1" firstDataRow="2" firstDataCol="1"/>
  <pivotFields count="12">
    <pivotField showAll="0"/>
    <pivotField showAll="0"/>
    <pivotField showAll="0"/>
    <pivotField axis="axisRow" showAll="0">
      <items count="23">
        <item x="7"/>
        <item x="9"/>
        <item x="15"/>
        <item x="2"/>
        <item x="20"/>
        <item x="16"/>
        <item x="17"/>
        <item x="1"/>
        <item x="4"/>
        <item x="11"/>
        <item x="6"/>
        <item x="21"/>
        <item x="12"/>
        <item x="8"/>
        <item x="5"/>
        <item x="14"/>
        <item x="18"/>
        <item x="13"/>
        <item x="10"/>
        <item x="3"/>
        <item x="19"/>
        <item x="0"/>
        <item t="default"/>
      </items>
    </pivotField>
    <pivotField showAll="0"/>
    <pivotField axis="axisRow" showAll="0">
      <items count="17">
        <item h="1" x="4"/>
        <item h="1" x="2"/>
        <item h="1" x="14"/>
        <item x="8"/>
        <item h="1" x="1"/>
        <item h="1" x="13"/>
        <item h="1" x="12"/>
        <item h="1" x="10"/>
        <item h="1" x="0"/>
        <item h="1" x="11"/>
        <item h="1" x="5"/>
        <item h="1" x="3"/>
        <item h="1" x="7"/>
        <item h="1" x="15"/>
        <item h="1" x="9"/>
        <item h="1" x="6"/>
        <item t="default"/>
      </items>
    </pivotField>
    <pivotField showAll="0">
      <items count="9">
        <item x="5"/>
        <item x="1"/>
        <item x="2"/>
        <item x="4"/>
        <item x="7"/>
        <item x="6"/>
        <item x="3"/>
        <item x="0"/>
        <item t="default"/>
      </items>
    </pivotField>
    <pivotField showAll="0"/>
    <pivotField dataField="1" showAll="0"/>
    <pivotField showAll="0"/>
    <pivotField showAll="0"/>
    <pivotField dataField="1" numFmtId="166" showAll="0"/>
  </pivotFields>
  <rowFields count="2">
    <field x="5"/>
    <field x="3"/>
  </rowFields>
  <rowItems count="5">
    <i>
      <x v="3"/>
    </i>
    <i r="1">
      <x v="13"/>
    </i>
    <i r="1">
      <x v="17"/>
    </i>
    <i r="1"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16" firstHeaderRow="1" firstDataRow="1" firstDataCol="1"/>
  <pivotFields count="1">
    <pivotField axis="axisRow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9"/>
  <sheetViews>
    <sheetView workbookViewId="0">
      <selection activeCell="A3" sqref="A3"/>
    </sheetView>
  </sheetViews>
  <sheetFormatPr defaultRowHeight="14.5" x14ac:dyDescent="0.35"/>
  <cols>
    <col min="1" max="1" width="18" customWidth="1"/>
    <col min="2" max="2" width="12.1796875" bestFit="1" customWidth="1"/>
    <col min="3" max="3" width="12.54296875" bestFit="1" customWidth="1"/>
  </cols>
  <sheetData>
    <row r="3" spans="1:3" x14ac:dyDescent="0.35">
      <c r="B3" s="48" t="s">
        <v>237</v>
      </c>
    </row>
    <row r="4" spans="1:3" x14ac:dyDescent="0.35">
      <c r="A4" s="48" t="s">
        <v>234</v>
      </c>
      <c r="B4" t="s">
        <v>236</v>
      </c>
      <c r="C4" t="s">
        <v>238</v>
      </c>
    </row>
    <row r="5" spans="1:3" x14ac:dyDescent="0.35">
      <c r="A5" s="49" t="s">
        <v>114</v>
      </c>
      <c r="B5">
        <v>787.14199999999994</v>
      </c>
      <c r="C5">
        <v>127.06639999999999</v>
      </c>
    </row>
    <row r="6" spans="1:3" x14ac:dyDescent="0.35">
      <c r="A6" s="50" t="s">
        <v>113</v>
      </c>
      <c r="B6">
        <v>58.463999999999977</v>
      </c>
      <c r="C6">
        <v>2.4779999999999989</v>
      </c>
    </row>
    <row r="7" spans="1:3" x14ac:dyDescent="0.35">
      <c r="A7" s="50" t="s">
        <v>132</v>
      </c>
      <c r="B7">
        <v>635.03800000000001</v>
      </c>
      <c r="C7">
        <v>67.151399999999995</v>
      </c>
    </row>
    <row r="8" spans="1:3" x14ac:dyDescent="0.35">
      <c r="A8" s="50" t="s">
        <v>121</v>
      </c>
      <c r="B8">
        <v>93.639999999999986</v>
      </c>
      <c r="C8">
        <v>57.436999999999991</v>
      </c>
    </row>
    <row r="9" spans="1:3" x14ac:dyDescent="0.35">
      <c r="A9" s="49" t="s">
        <v>235</v>
      </c>
      <c r="B9">
        <v>787.14199999999994</v>
      </c>
      <c r="C9">
        <v>127.06639999999999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W502"/>
  <sheetViews>
    <sheetView showGridLines="0" topLeftCell="A16" zoomScale="90" zoomScaleNormal="90" workbookViewId="0">
      <selection sqref="A1:L31"/>
    </sheetView>
  </sheetViews>
  <sheetFormatPr defaultColWidth="9.1796875" defaultRowHeight="14.5" x14ac:dyDescent="0.35"/>
  <cols>
    <col min="1" max="1" width="9.1796875" style="15"/>
    <col min="2" max="2" width="16.26953125" style="15" bestFit="1" customWidth="1"/>
    <col min="3" max="3" width="15" style="15" customWidth="1"/>
    <col min="4" max="4" width="21.54296875" style="15" bestFit="1" customWidth="1"/>
    <col min="5" max="5" width="12.7265625" style="15" bestFit="1" customWidth="1"/>
    <col min="6" max="6" width="16.7265625" style="15" bestFit="1" customWidth="1"/>
    <col min="7" max="7" width="13.54296875" style="15" customWidth="1"/>
    <col min="8" max="8" width="15.1796875" style="15" bestFit="1" customWidth="1"/>
    <col min="9" max="9" width="10.453125" style="15" customWidth="1"/>
    <col min="10" max="11" width="9.1796875" style="15"/>
    <col min="12" max="12" width="9.81640625" style="37" bestFit="1" customWidth="1"/>
    <col min="13" max="14" width="9.1796875" style="15"/>
    <col min="15" max="15" width="14.54296875" style="15" bestFit="1" customWidth="1"/>
    <col min="16" max="16" width="14.54296875" style="15" customWidth="1"/>
    <col min="17" max="17" width="9.26953125" style="15" customWidth="1"/>
    <col min="18" max="18" width="11.1796875" style="15" customWidth="1"/>
    <col min="19" max="16384" width="9.1796875" style="15"/>
  </cols>
  <sheetData>
    <row r="1" spans="1:16377" s="32" customFormat="1" ht="15.5" x14ac:dyDescent="0.35">
      <c r="A1" s="30" t="s">
        <v>56</v>
      </c>
      <c r="B1" s="30" t="s">
        <v>57</v>
      </c>
      <c r="C1" s="30" t="s">
        <v>58</v>
      </c>
      <c r="D1" s="30" t="s">
        <v>59</v>
      </c>
      <c r="E1" s="30" t="s">
        <v>60</v>
      </c>
      <c r="F1" s="30" t="s">
        <v>61</v>
      </c>
      <c r="G1" s="30" t="s">
        <v>62</v>
      </c>
      <c r="H1" s="30" t="s">
        <v>63</v>
      </c>
      <c r="I1" s="30" t="s">
        <v>64</v>
      </c>
      <c r="J1" s="30" t="s">
        <v>65</v>
      </c>
      <c r="K1" s="30" t="s">
        <v>66</v>
      </c>
      <c r="L1" s="31" t="s">
        <v>67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</row>
    <row r="2" spans="1:16377" ht="15.5" x14ac:dyDescent="0.35">
      <c r="A2" s="33">
        <v>1200</v>
      </c>
      <c r="B2" s="33" t="s">
        <v>68</v>
      </c>
      <c r="C2" s="33" t="s">
        <v>69</v>
      </c>
      <c r="D2" s="33" t="s">
        <v>70</v>
      </c>
      <c r="E2" s="33" t="s">
        <v>71</v>
      </c>
      <c r="F2" s="33" t="s">
        <v>72</v>
      </c>
      <c r="G2" s="33" t="s">
        <v>73</v>
      </c>
      <c r="H2" s="33" t="s">
        <v>74</v>
      </c>
      <c r="I2" s="33">
        <v>1088.7919999999997</v>
      </c>
      <c r="J2" s="33">
        <v>4</v>
      </c>
      <c r="K2" s="33">
        <v>0.8</v>
      </c>
      <c r="L2" s="34">
        <v>9.1580000000000013</v>
      </c>
      <c r="O2" s="35"/>
    </row>
    <row r="3" spans="1:16377" ht="15.5" x14ac:dyDescent="0.35">
      <c r="A3" s="33">
        <v>1370</v>
      </c>
      <c r="B3" s="33" t="s">
        <v>75</v>
      </c>
      <c r="C3" s="33" t="s">
        <v>76</v>
      </c>
      <c r="D3" s="33" t="s">
        <v>77</v>
      </c>
      <c r="E3" s="33" t="s">
        <v>71</v>
      </c>
      <c r="F3" s="33" t="s">
        <v>78</v>
      </c>
      <c r="G3" s="33" t="s">
        <v>79</v>
      </c>
      <c r="H3" s="33" t="s">
        <v>80</v>
      </c>
      <c r="I3" s="33">
        <v>590.05800000000011</v>
      </c>
      <c r="J3" s="33">
        <v>7</v>
      </c>
      <c r="K3" s="33">
        <v>0.7</v>
      </c>
      <c r="L3" s="34">
        <v>12.912900000000004</v>
      </c>
      <c r="O3" s="35"/>
    </row>
    <row r="4" spans="1:16377" ht="15.5" x14ac:dyDescent="0.35">
      <c r="A4" s="33">
        <v>1395</v>
      </c>
      <c r="B4" s="33" t="s">
        <v>81</v>
      </c>
      <c r="C4" s="33" t="s">
        <v>82</v>
      </c>
      <c r="D4" s="33" t="s">
        <v>83</v>
      </c>
      <c r="E4" s="33" t="s">
        <v>84</v>
      </c>
      <c r="F4" s="33" t="s">
        <v>85</v>
      </c>
      <c r="G4" s="33" t="s">
        <v>86</v>
      </c>
      <c r="H4" s="33" t="s">
        <v>80</v>
      </c>
      <c r="I4" s="33">
        <v>652.45000000000005</v>
      </c>
      <c r="J4" s="33">
        <v>5</v>
      </c>
      <c r="K4" s="33">
        <v>0.5</v>
      </c>
      <c r="L4" s="34">
        <v>11.4452</v>
      </c>
      <c r="O4" s="35"/>
    </row>
    <row r="5" spans="1:16377" ht="15.5" x14ac:dyDescent="0.35">
      <c r="A5" s="33">
        <v>1220</v>
      </c>
      <c r="B5" s="33" t="s">
        <v>87</v>
      </c>
      <c r="C5" s="33" t="s">
        <v>88</v>
      </c>
      <c r="D5" s="33" t="s">
        <v>89</v>
      </c>
      <c r="E5" s="33" t="s">
        <v>84</v>
      </c>
      <c r="F5" s="33" t="s">
        <v>90</v>
      </c>
      <c r="G5" s="33" t="s">
        <v>91</v>
      </c>
      <c r="H5" s="33" t="s">
        <v>92</v>
      </c>
      <c r="I5" s="33">
        <v>1931.9579999999999</v>
      </c>
      <c r="J5" s="33">
        <v>7</v>
      </c>
      <c r="K5" s="33">
        <v>0.4</v>
      </c>
      <c r="L5" s="34">
        <v>762.18449999999984</v>
      </c>
      <c r="O5" s="35"/>
    </row>
    <row r="6" spans="1:16377" ht="15.5" x14ac:dyDescent="0.35">
      <c r="A6" s="33">
        <v>1439</v>
      </c>
      <c r="B6" s="33" t="s">
        <v>93</v>
      </c>
      <c r="C6" s="33" t="s">
        <v>94</v>
      </c>
      <c r="D6" s="33" t="s">
        <v>95</v>
      </c>
      <c r="E6" s="33" t="s">
        <v>71</v>
      </c>
      <c r="F6" s="33" t="s">
        <v>96</v>
      </c>
      <c r="G6" s="33" t="s">
        <v>73</v>
      </c>
      <c r="H6" s="33" t="s">
        <v>80</v>
      </c>
      <c r="I6" s="33">
        <v>2453.4299999999998</v>
      </c>
      <c r="J6" s="33">
        <v>5</v>
      </c>
      <c r="K6" s="33">
        <v>0.3</v>
      </c>
      <c r="L6" s="34">
        <v>-290.87520000000001</v>
      </c>
      <c r="O6" s="35"/>
    </row>
    <row r="7" spans="1:16377" ht="15.5" x14ac:dyDescent="0.35">
      <c r="A7" s="33">
        <v>1003</v>
      </c>
      <c r="B7" s="33" t="s">
        <v>97</v>
      </c>
      <c r="C7" s="33" t="s">
        <v>98</v>
      </c>
      <c r="D7" s="33" t="s">
        <v>99</v>
      </c>
      <c r="E7" s="33" t="s">
        <v>71</v>
      </c>
      <c r="F7" s="33" t="s">
        <v>100</v>
      </c>
      <c r="G7" s="33" t="s">
        <v>101</v>
      </c>
      <c r="H7" s="33" t="s">
        <v>80</v>
      </c>
      <c r="I7" s="33">
        <v>1090.7819999999999</v>
      </c>
      <c r="J7" s="33">
        <v>7</v>
      </c>
      <c r="K7" s="33">
        <v>0.4</v>
      </c>
      <c r="L7" s="34">
        <v>9.3312000000000008</v>
      </c>
      <c r="O7" s="35"/>
    </row>
    <row r="8" spans="1:16377" ht="15.5" x14ac:dyDescent="0.35">
      <c r="A8" s="33">
        <v>1083</v>
      </c>
      <c r="B8" s="33" t="s">
        <v>102</v>
      </c>
      <c r="C8" s="33" t="s">
        <v>103</v>
      </c>
      <c r="D8" s="33" t="s">
        <v>104</v>
      </c>
      <c r="E8" s="33" t="s">
        <v>71</v>
      </c>
      <c r="F8" s="33" t="s">
        <v>105</v>
      </c>
      <c r="G8" s="33" t="s">
        <v>101</v>
      </c>
      <c r="H8" s="33" t="s">
        <v>80</v>
      </c>
      <c r="I8" s="33">
        <v>836.59199999999998</v>
      </c>
      <c r="J8" s="33">
        <v>8</v>
      </c>
      <c r="K8" s="33">
        <v>0.4</v>
      </c>
      <c r="L8" s="34">
        <v>92.083500000000015</v>
      </c>
      <c r="O8" s="35"/>
    </row>
    <row r="9" spans="1:16377" ht="15.5" x14ac:dyDescent="0.35">
      <c r="A9" s="33">
        <v>1410</v>
      </c>
      <c r="B9" s="33" t="s">
        <v>106</v>
      </c>
      <c r="C9" s="33" t="s">
        <v>107</v>
      </c>
      <c r="D9" s="33" t="s">
        <v>108</v>
      </c>
      <c r="E9" s="33" t="s">
        <v>71</v>
      </c>
      <c r="F9" s="33" t="s">
        <v>109</v>
      </c>
      <c r="G9" s="33" t="s">
        <v>110</v>
      </c>
      <c r="H9" s="33" t="s">
        <v>80</v>
      </c>
      <c r="I9" s="33">
        <v>393.16500000000002</v>
      </c>
      <c r="J9" s="33">
        <v>3</v>
      </c>
      <c r="K9" s="33">
        <v>0.5</v>
      </c>
      <c r="L9" s="34">
        <v>40.353599999999986</v>
      </c>
      <c r="O9" s="35"/>
    </row>
    <row r="10" spans="1:16377" ht="15.5" x14ac:dyDescent="0.35">
      <c r="A10" s="33">
        <v>1045</v>
      </c>
      <c r="B10" s="33" t="s">
        <v>111</v>
      </c>
      <c r="C10" s="33" t="s">
        <v>112</v>
      </c>
      <c r="D10" s="33" t="s">
        <v>113</v>
      </c>
      <c r="E10" s="33" t="s">
        <v>84</v>
      </c>
      <c r="F10" s="33" t="s">
        <v>114</v>
      </c>
      <c r="G10" s="33" t="s">
        <v>86</v>
      </c>
      <c r="H10" s="33" t="s">
        <v>74</v>
      </c>
      <c r="I10" s="33">
        <v>58.463999999999977</v>
      </c>
      <c r="J10" s="33">
        <v>9</v>
      </c>
      <c r="K10" s="33">
        <v>0.8</v>
      </c>
      <c r="L10" s="34">
        <v>2.4779999999999989</v>
      </c>
      <c r="O10" s="35"/>
    </row>
    <row r="11" spans="1:16377" ht="15.5" x14ac:dyDescent="0.35">
      <c r="A11" s="33">
        <v>1368</v>
      </c>
      <c r="B11" s="33" t="s">
        <v>115</v>
      </c>
      <c r="C11" s="33" t="s">
        <v>116</v>
      </c>
      <c r="D11" s="33" t="s">
        <v>117</v>
      </c>
      <c r="E11" s="33" t="s">
        <v>84</v>
      </c>
      <c r="F11" s="33" t="s">
        <v>118</v>
      </c>
      <c r="G11" s="33" t="s">
        <v>110</v>
      </c>
      <c r="H11" s="33" t="s">
        <v>80</v>
      </c>
      <c r="I11" s="33">
        <v>899.13600000000008</v>
      </c>
      <c r="J11" s="33">
        <v>4</v>
      </c>
      <c r="K11" s="33">
        <v>0.2</v>
      </c>
      <c r="L11" s="34">
        <v>-3.5207999999999995</v>
      </c>
    </row>
    <row r="12" spans="1:16377" ht="15.5" x14ac:dyDescent="0.35">
      <c r="A12" s="33">
        <v>1272</v>
      </c>
      <c r="B12" s="33" t="s">
        <v>119</v>
      </c>
      <c r="C12" s="33" t="s">
        <v>120</v>
      </c>
      <c r="D12" s="33" t="s">
        <v>121</v>
      </c>
      <c r="E12" s="33" t="s">
        <v>84</v>
      </c>
      <c r="F12" s="33" t="s">
        <v>114</v>
      </c>
      <c r="G12" s="33" t="s">
        <v>86</v>
      </c>
      <c r="H12" s="33" t="s">
        <v>74</v>
      </c>
      <c r="I12" s="33">
        <v>48.791999999999987</v>
      </c>
      <c r="J12" s="33">
        <v>3</v>
      </c>
      <c r="K12" s="33">
        <v>0.8</v>
      </c>
      <c r="L12" s="34">
        <v>20.584999999999994</v>
      </c>
    </row>
    <row r="13" spans="1:16377" ht="15.5" x14ac:dyDescent="0.35">
      <c r="A13" s="33">
        <v>1382</v>
      </c>
      <c r="B13" s="33" t="s">
        <v>122</v>
      </c>
      <c r="C13" s="33" t="s">
        <v>123</v>
      </c>
      <c r="D13" s="33" t="s">
        <v>124</v>
      </c>
      <c r="E13" s="33" t="s">
        <v>125</v>
      </c>
      <c r="F13" s="33" t="s">
        <v>85</v>
      </c>
      <c r="G13" s="33" t="s">
        <v>86</v>
      </c>
      <c r="H13" s="33" t="s">
        <v>80</v>
      </c>
      <c r="I13" s="33">
        <v>83.951999999999998</v>
      </c>
      <c r="J13" s="33">
        <v>3</v>
      </c>
      <c r="K13" s="33">
        <v>0.6</v>
      </c>
      <c r="L13" s="34">
        <v>5.9990000000000023</v>
      </c>
    </row>
    <row r="14" spans="1:16377" ht="15.5" x14ac:dyDescent="0.35">
      <c r="A14" s="33">
        <v>1275</v>
      </c>
      <c r="B14" s="33" t="s">
        <v>126</v>
      </c>
      <c r="C14" s="33" t="s">
        <v>127</v>
      </c>
      <c r="D14" s="33" t="s">
        <v>128</v>
      </c>
      <c r="E14" s="33" t="s">
        <v>71</v>
      </c>
      <c r="F14" s="33" t="s">
        <v>129</v>
      </c>
      <c r="G14" s="33" t="s">
        <v>73</v>
      </c>
      <c r="H14" s="33" t="s">
        <v>80</v>
      </c>
      <c r="I14" s="33">
        <v>388.42999999999995</v>
      </c>
      <c r="J14" s="33">
        <v>5</v>
      </c>
      <c r="K14" s="33">
        <v>0.3</v>
      </c>
      <c r="L14" s="34">
        <v>27.309599999999989</v>
      </c>
    </row>
    <row r="15" spans="1:16377" ht="15.5" x14ac:dyDescent="0.35">
      <c r="A15" s="33">
        <v>1447</v>
      </c>
      <c r="B15" s="33" t="s">
        <v>130</v>
      </c>
      <c r="C15" s="33" t="s">
        <v>131</v>
      </c>
      <c r="D15" s="33" t="s">
        <v>132</v>
      </c>
      <c r="E15" s="33" t="s">
        <v>125</v>
      </c>
      <c r="F15" s="33" t="s">
        <v>114</v>
      </c>
      <c r="G15" s="33" t="s">
        <v>86</v>
      </c>
      <c r="H15" s="33" t="s">
        <v>80</v>
      </c>
      <c r="I15" s="33">
        <v>470.30199999999996</v>
      </c>
      <c r="J15" s="33">
        <v>7</v>
      </c>
      <c r="K15" s="33">
        <v>0.3</v>
      </c>
      <c r="L15" s="34">
        <v>46.574999999999996</v>
      </c>
    </row>
    <row r="16" spans="1:16377" ht="15.5" x14ac:dyDescent="0.35">
      <c r="A16" s="33">
        <v>1426</v>
      </c>
      <c r="B16" s="33" t="s">
        <v>133</v>
      </c>
      <c r="C16" s="33" t="s">
        <v>134</v>
      </c>
      <c r="D16" s="33" t="s">
        <v>135</v>
      </c>
      <c r="E16" s="33" t="s">
        <v>84</v>
      </c>
      <c r="F16" s="33" t="s">
        <v>136</v>
      </c>
      <c r="G16" s="33" t="s">
        <v>110</v>
      </c>
      <c r="H16" s="33" t="s">
        <v>74</v>
      </c>
      <c r="I16" s="33">
        <v>363.64800000000002</v>
      </c>
      <c r="J16" s="33">
        <v>4</v>
      </c>
      <c r="K16" s="33">
        <v>0.2</v>
      </c>
      <c r="L16" s="34">
        <v>4.068699999999998</v>
      </c>
    </row>
    <row r="17" spans="1:12" ht="15.5" x14ac:dyDescent="0.35">
      <c r="A17" s="33">
        <v>1351</v>
      </c>
      <c r="B17" s="33" t="s">
        <v>137</v>
      </c>
      <c r="C17" s="33" t="s">
        <v>138</v>
      </c>
      <c r="D17" s="33" t="s">
        <v>139</v>
      </c>
      <c r="E17" s="33" t="s">
        <v>71</v>
      </c>
      <c r="F17" s="33" t="s">
        <v>140</v>
      </c>
      <c r="G17" s="33" t="s">
        <v>86</v>
      </c>
      <c r="H17" s="33" t="s">
        <v>80</v>
      </c>
      <c r="I17" s="33">
        <v>258.279</v>
      </c>
      <c r="J17" s="33">
        <v>3</v>
      </c>
      <c r="K17" s="33">
        <v>0.3</v>
      </c>
      <c r="L17" s="34">
        <v>356.04139999999995</v>
      </c>
    </row>
    <row r="18" spans="1:12" ht="15.5" x14ac:dyDescent="0.35">
      <c r="A18" s="33">
        <v>1273</v>
      </c>
      <c r="B18" s="33" t="s">
        <v>119</v>
      </c>
      <c r="C18" s="33" t="s">
        <v>120</v>
      </c>
      <c r="D18" s="33" t="s">
        <v>121</v>
      </c>
      <c r="E18" s="33" t="s">
        <v>84</v>
      </c>
      <c r="F18" s="33" t="s">
        <v>114</v>
      </c>
      <c r="G18" s="33" t="s">
        <v>86</v>
      </c>
      <c r="H18" s="33" t="s">
        <v>74</v>
      </c>
      <c r="I18" s="33">
        <v>44.847999999999992</v>
      </c>
      <c r="J18" s="33">
        <v>8</v>
      </c>
      <c r="K18" s="33">
        <v>0.8</v>
      </c>
      <c r="L18" s="34">
        <v>36.851999999999997</v>
      </c>
    </row>
    <row r="19" spans="1:12" ht="15.5" x14ac:dyDescent="0.35">
      <c r="A19" s="33">
        <v>1365</v>
      </c>
      <c r="B19" s="33" t="s">
        <v>115</v>
      </c>
      <c r="C19" s="33" t="s">
        <v>116</v>
      </c>
      <c r="D19" s="33" t="s">
        <v>117</v>
      </c>
      <c r="E19" s="33" t="s">
        <v>84</v>
      </c>
      <c r="F19" s="33" t="s">
        <v>118</v>
      </c>
      <c r="G19" s="33" t="s">
        <v>110</v>
      </c>
      <c r="H19" s="33" t="s">
        <v>92</v>
      </c>
      <c r="I19" s="33">
        <v>95.994000000000014</v>
      </c>
      <c r="J19" s="33">
        <v>2</v>
      </c>
      <c r="K19" s="33">
        <v>0.7</v>
      </c>
      <c r="L19" s="34">
        <v>15.552000000000001</v>
      </c>
    </row>
    <row r="20" spans="1:12" ht="15.5" x14ac:dyDescent="0.35">
      <c r="A20" s="33">
        <v>1423</v>
      </c>
      <c r="B20" s="33" t="s">
        <v>133</v>
      </c>
      <c r="C20" s="33" t="s">
        <v>134</v>
      </c>
      <c r="D20" s="33" t="s">
        <v>135</v>
      </c>
      <c r="E20" s="33" t="s">
        <v>84</v>
      </c>
      <c r="F20" s="33" t="s">
        <v>136</v>
      </c>
      <c r="G20" s="33" t="s">
        <v>110</v>
      </c>
      <c r="H20" s="33" t="s">
        <v>74</v>
      </c>
      <c r="I20" s="33">
        <v>77.031000000000006</v>
      </c>
      <c r="J20" s="33">
        <v>9</v>
      </c>
      <c r="K20" s="33">
        <v>0.7</v>
      </c>
      <c r="L20" s="34">
        <v>6.7008000000000001</v>
      </c>
    </row>
    <row r="21" spans="1:12" ht="15.5" x14ac:dyDescent="0.35">
      <c r="A21" s="33">
        <v>1403</v>
      </c>
      <c r="B21" s="33" t="s">
        <v>141</v>
      </c>
      <c r="C21" s="33" t="s">
        <v>142</v>
      </c>
      <c r="D21" s="33" t="s">
        <v>143</v>
      </c>
      <c r="E21" s="33" t="s">
        <v>125</v>
      </c>
      <c r="F21" s="33" t="s">
        <v>144</v>
      </c>
      <c r="G21" s="33" t="s">
        <v>145</v>
      </c>
      <c r="H21" s="33" t="s">
        <v>80</v>
      </c>
      <c r="I21" s="33">
        <v>205.17599999999999</v>
      </c>
      <c r="J21" s="33">
        <v>2</v>
      </c>
      <c r="K21" s="33">
        <v>0.4</v>
      </c>
      <c r="L21" s="34">
        <v>63.886200000000002</v>
      </c>
    </row>
    <row r="22" spans="1:12" ht="15.5" x14ac:dyDescent="0.35">
      <c r="A22" s="33">
        <v>1363</v>
      </c>
      <c r="B22" s="33" t="s">
        <v>146</v>
      </c>
      <c r="C22" s="33" t="s">
        <v>147</v>
      </c>
      <c r="D22" s="33" t="s">
        <v>148</v>
      </c>
      <c r="E22" s="33" t="s">
        <v>84</v>
      </c>
      <c r="F22" s="33" t="s">
        <v>90</v>
      </c>
      <c r="G22" s="33" t="s">
        <v>91</v>
      </c>
      <c r="H22" s="33" t="s">
        <v>92</v>
      </c>
      <c r="I22" s="33">
        <v>309.57600000000002</v>
      </c>
      <c r="J22" s="33">
        <v>4</v>
      </c>
      <c r="K22" s="33">
        <v>0.4</v>
      </c>
      <c r="L22" s="34">
        <v>2.4990000000000023</v>
      </c>
    </row>
    <row r="23" spans="1:12" ht="15.5" x14ac:dyDescent="0.35">
      <c r="A23" s="33">
        <v>1213</v>
      </c>
      <c r="B23" s="33" t="s">
        <v>87</v>
      </c>
      <c r="C23" s="33" t="s">
        <v>88</v>
      </c>
      <c r="D23" s="33" t="s">
        <v>89</v>
      </c>
      <c r="E23" s="33" t="s">
        <v>84</v>
      </c>
      <c r="F23" s="33" t="s">
        <v>90</v>
      </c>
      <c r="G23" s="33" t="s">
        <v>91</v>
      </c>
      <c r="H23" s="33" t="s">
        <v>80</v>
      </c>
      <c r="I23" s="33">
        <v>141.37199999999999</v>
      </c>
      <c r="J23" s="33">
        <v>2</v>
      </c>
      <c r="K23" s="33">
        <v>0.3</v>
      </c>
      <c r="L23" s="34">
        <v>156.42899999999997</v>
      </c>
    </row>
    <row r="24" spans="1:12" ht="15.5" x14ac:dyDescent="0.35">
      <c r="A24" s="33">
        <v>1421</v>
      </c>
      <c r="B24" s="33" t="s">
        <v>133</v>
      </c>
      <c r="C24" s="33" t="s">
        <v>134</v>
      </c>
      <c r="D24" s="33" t="s">
        <v>135</v>
      </c>
      <c r="E24" s="33" t="s">
        <v>84</v>
      </c>
      <c r="F24" s="33" t="s">
        <v>136</v>
      </c>
      <c r="G24" s="33" t="s">
        <v>110</v>
      </c>
      <c r="H24" s="33" t="s">
        <v>74</v>
      </c>
      <c r="I24" s="33">
        <v>72.588000000000008</v>
      </c>
      <c r="J24" s="33">
        <v>2</v>
      </c>
      <c r="K24" s="33">
        <v>0.7</v>
      </c>
      <c r="L24" s="34">
        <v>8.8686000000000007</v>
      </c>
    </row>
    <row r="25" spans="1:12" ht="15.5" x14ac:dyDescent="0.35">
      <c r="A25" s="33">
        <v>1259</v>
      </c>
      <c r="B25" s="33" t="s">
        <v>149</v>
      </c>
      <c r="C25" s="33" t="s">
        <v>150</v>
      </c>
      <c r="D25" s="33" t="s">
        <v>151</v>
      </c>
      <c r="E25" s="33" t="s">
        <v>125</v>
      </c>
      <c r="F25" s="33" t="s">
        <v>152</v>
      </c>
      <c r="G25" s="33" t="s">
        <v>153</v>
      </c>
      <c r="H25" s="33" t="s">
        <v>74</v>
      </c>
      <c r="I25" s="33">
        <v>540.048</v>
      </c>
      <c r="J25" s="33">
        <v>3</v>
      </c>
      <c r="K25" s="33">
        <v>0.2</v>
      </c>
      <c r="L25" s="34">
        <v>316.88249999999999</v>
      </c>
    </row>
    <row r="26" spans="1:12" ht="15.5" x14ac:dyDescent="0.35">
      <c r="A26" s="33">
        <v>1067</v>
      </c>
      <c r="B26" s="33" t="s">
        <v>154</v>
      </c>
      <c r="C26" s="33" t="s">
        <v>155</v>
      </c>
      <c r="D26" s="33" t="s">
        <v>156</v>
      </c>
      <c r="E26" s="33" t="s">
        <v>84</v>
      </c>
      <c r="F26" s="33" t="s">
        <v>157</v>
      </c>
      <c r="G26" s="33" t="s">
        <v>145</v>
      </c>
      <c r="H26" s="33" t="s">
        <v>74</v>
      </c>
      <c r="I26" s="33">
        <v>55.470000000000006</v>
      </c>
      <c r="J26" s="33">
        <v>5</v>
      </c>
      <c r="K26" s="33">
        <v>0.7</v>
      </c>
      <c r="L26" s="34">
        <v>648.56240000000003</v>
      </c>
    </row>
    <row r="27" spans="1:12" ht="15.5" x14ac:dyDescent="0.35">
      <c r="A27" s="33">
        <v>1356</v>
      </c>
      <c r="B27" s="33" t="s">
        <v>158</v>
      </c>
      <c r="C27" s="33" t="s">
        <v>159</v>
      </c>
      <c r="D27" s="33" t="s">
        <v>160</v>
      </c>
      <c r="E27" s="33" t="s">
        <v>71</v>
      </c>
      <c r="F27" s="33" t="s">
        <v>72</v>
      </c>
      <c r="G27" s="33" t="s">
        <v>73</v>
      </c>
      <c r="H27" s="33" t="s">
        <v>74</v>
      </c>
      <c r="I27" s="33">
        <v>220.77600000000001</v>
      </c>
      <c r="J27" s="33">
        <v>3</v>
      </c>
      <c r="K27" s="33">
        <v>0.2</v>
      </c>
      <c r="L27" s="34">
        <v>2.1728000000000001</v>
      </c>
    </row>
    <row r="28" spans="1:12" ht="15.5" x14ac:dyDescent="0.35">
      <c r="A28" s="33">
        <v>1396</v>
      </c>
      <c r="B28" s="33" t="s">
        <v>81</v>
      </c>
      <c r="C28" s="33" t="s">
        <v>82</v>
      </c>
      <c r="D28" s="33" t="s">
        <v>83</v>
      </c>
      <c r="E28" s="33" t="s">
        <v>84</v>
      </c>
      <c r="F28" s="33" t="s">
        <v>85</v>
      </c>
      <c r="G28" s="33" t="s">
        <v>86</v>
      </c>
      <c r="H28" s="33" t="s">
        <v>80</v>
      </c>
      <c r="I28" s="33">
        <v>66.644999999999996</v>
      </c>
      <c r="J28" s="33">
        <v>3</v>
      </c>
      <c r="K28" s="33">
        <v>0.5</v>
      </c>
      <c r="L28" s="34">
        <v>4.2804000000000002</v>
      </c>
    </row>
    <row r="29" spans="1:12" ht="15.5" x14ac:dyDescent="0.35">
      <c r="A29" s="33">
        <v>1431</v>
      </c>
      <c r="B29" s="33" t="s">
        <v>161</v>
      </c>
      <c r="C29" s="33" t="s">
        <v>162</v>
      </c>
      <c r="D29" s="33" t="s">
        <v>163</v>
      </c>
      <c r="E29" s="33" t="s">
        <v>71</v>
      </c>
      <c r="F29" s="33" t="s">
        <v>144</v>
      </c>
      <c r="G29" s="33" t="s">
        <v>145</v>
      </c>
      <c r="H29" s="33" t="s">
        <v>92</v>
      </c>
      <c r="I29" s="33">
        <v>220.75200000000001</v>
      </c>
      <c r="J29" s="33">
        <v>8</v>
      </c>
      <c r="K29" s="33">
        <v>0.4</v>
      </c>
      <c r="L29" s="34">
        <v>5.4432</v>
      </c>
    </row>
    <row r="30" spans="1:12" ht="15.5" x14ac:dyDescent="0.35">
      <c r="A30" s="33">
        <v>1446</v>
      </c>
      <c r="B30" s="33" t="s">
        <v>130</v>
      </c>
      <c r="C30" s="33" t="s">
        <v>131</v>
      </c>
      <c r="D30" s="33" t="s">
        <v>132</v>
      </c>
      <c r="E30" s="33" t="s">
        <v>125</v>
      </c>
      <c r="F30" s="33" t="s">
        <v>114</v>
      </c>
      <c r="G30" s="33" t="s">
        <v>86</v>
      </c>
      <c r="H30" s="33" t="s">
        <v>74</v>
      </c>
      <c r="I30" s="33">
        <v>164.73599999999999</v>
      </c>
      <c r="J30" s="33">
        <v>4</v>
      </c>
      <c r="K30" s="33">
        <v>0.2</v>
      </c>
      <c r="L30" s="34">
        <v>20.576399999999996</v>
      </c>
    </row>
    <row r="31" spans="1:12" ht="15.5" x14ac:dyDescent="0.35">
      <c r="A31" s="33">
        <v>1406</v>
      </c>
      <c r="B31" s="33" t="s">
        <v>164</v>
      </c>
      <c r="C31" s="33" t="s">
        <v>131</v>
      </c>
      <c r="D31" s="33" t="s">
        <v>132</v>
      </c>
      <c r="E31" s="33" t="s">
        <v>125</v>
      </c>
      <c r="F31" s="33" t="s">
        <v>90</v>
      </c>
      <c r="G31" s="33" t="s">
        <v>91</v>
      </c>
      <c r="H31" s="33" t="s">
        <v>80</v>
      </c>
      <c r="I31" s="33">
        <v>154.76400000000001</v>
      </c>
      <c r="J31" s="33">
        <v>3</v>
      </c>
      <c r="K31" s="33">
        <v>0.4</v>
      </c>
      <c r="L31" s="34">
        <v>-9.8724000000000007</v>
      </c>
    </row>
    <row r="32" spans="1:12" ht="15.5" x14ac:dyDescent="0.3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ht="15.5" x14ac:dyDescent="0.3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15.5" x14ac:dyDescent="0.3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15.5" x14ac:dyDescent="0.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15.5" x14ac:dyDescent="0.3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ht="15.5" x14ac:dyDescent="0.3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ht="15.5" x14ac:dyDescent="0.3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5.5" x14ac:dyDescent="0.3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15.5" x14ac:dyDescent="0.3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5.5" x14ac:dyDescent="0.3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ht="15.5" x14ac:dyDescent="0.3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ht="15.5" x14ac:dyDescent="0.3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6"/>
    </row>
    <row r="44" spans="1:12" ht="15.5" x14ac:dyDescent="0.3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2" ht="15.5" x14ac:dyDescent="0.3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6"/>
    </row>
    <row r="46" spans="1:12" ht="15.5" x14ac:dyDescent="0.3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6"/>
    </row>
    <row r="47" spans="1:12" ht="15.5" x14ac:dyDescent="0.3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6"/>
    </row>
    <row r="48" spans="1:12" ht="15.5" x14ac:dyDescent="0.3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1:12" ht="15.5" x14ac:dyDescent="0.3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6"/>
    </row>
    <row r="50" spans="1:12" ht="15.5" x14ac:dyDescent="0.3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6"/>
    </row>
    <row r="51" spans="1:12" ht="15.5" x14ac:dyDescent="0.3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6"/>
    </row>
    <row r="52" spans="1:12" ht="15.5" x14ac:dyDescent="0.3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6"/>
    </row>
    <row r="53" spans="1:12" ht="15.5" x14ac:dyDescent="0.3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6"/>
    </row>
    <row r="54" spans="1:12" ht="15.5" x14ac:dyDescent="0.3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6"/>
    </row>
    <row r="55" spans="1:12" ht="15.5" x14ac:dyDescent="0.3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6"/>
    </row>
    <row r="56" spans="1:12" ht="15.5" x14ac:dyDescent="0.3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6"/>
    </row>
    <row r="57" spans="1:12" ht="15.5" x14ac:dyDescent="0.3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6"/>
    </row>
    <row r="58" spans="1:12" ht="15.5" x14ac:dyDescent="0.3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6"/>
    </row>
    <row r="59" spans="1:12" ht="15.5" x14ac:dyDescent="0.3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6"/>
    </row>
    <row r="60" spans="1:12" ht="15.5" x14ac:dyDescent="0.3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6"/>
    </row>
    <row r="61" spans="1:12" ht="15.5" x14ac:dyDescent="0.3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6"/>
    </row>
    <row r="62" spans="1:12" ht="15.5" x14ac:dyDescent="0.3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6"/>
    </row>
    <row r="63" spans="1:12" ht="15.5" x14ac:dyDescent="0.3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6"/>
    </row>
    <row r="64" spans="1:12" ht="15.5" x14ac:dyDescent="0.3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6"/>
    </row>
    <row r="65" spans="1:12" ht="15.5" x14ac:dyDescent="0.3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6"/>
    </row>
    <row r="66" spans="1:12" ht="15.5" x14ac:dyDescent="0.3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6"/>
    </row>
    <row r="67" spans="1:12" ht="15.5" x14ac:dyDescent="0.3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6"/>
    </row>
    <row r="68" spans="1:12" ht="15.5" x14ac:dyDescent="0.3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6"/>
    </row>
    <row r="69" spans="1:12" ht="15.5" x14ac:dyDescent="0.3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6"/>
    </row>
    <row r="70" spans="1:12" ht="15.5" x14ac:dyDescent="0.3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6"/>
    </row>
    <row r="71" spans="1:12" ht="15.5" x14ac:dyDescent="0.3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6"/>
    </row>
    <row r="72" spans="1:12" ht="15.5" x14ac:dyDescent="0.3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6"/>
    </row>
    <row r="73" spans="1:12" ht="15.5" x14ac:dyDescent="0.3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6"/>
    </row>
    <row r="74" spans="1:12" ht="15.5" x14ac:dyDescent="0.3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6"/>
    </row>
    <row r="75" spans="1:12" ht="15.5" x14ac:dyDescent="0.3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6"/>
    </row>
    <row r="76" spans="1:12" ht="15.5" x14ac:dyDescent="0.3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6"/>
    </row>
    <row r="77" spans="1:12" ht="15.5" x14ac:dyDescent="0.3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6"/>
    </row>
    <row r="78" spans="1:12" ht="15.5" x14ac:dyDescent="0.3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6"/>
    </row>
    <row r="79" spans="1:12" ht="15.5" x14ac:dyDescent="0.3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6"/>
    </row>
    <row r="80" spans="1:12" ht="15.5" x14ac:dyDescent="0.3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6"/>
    </row>
    <row r="81" spans="1:12" ht="15.5" x14ac:dyDescent="0.3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6"/>
    </row>
    <row r="82" spans="1:12" ht="15.5" x14ac:dyDescent="0.3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6"/>
    </row>
    <row r="83" spans="1:12" ht="15.5" x14ac:dyDescent="0.3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6"/>
    </row>
    <row r="84" spans="1:12" ht="15.5" x14ac:dyDescent="0.3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6"/>
    </row>
    <row r="85" spans="1:12" ht="15.5" x14ac:dyDescent="0.3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6"/>
    </row>
    <row r="86" spans="1:12" ht="15.5" x14ac:dyDescent="0.3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6"/>
    </row>
    <row r="87" spans="1:12" ht="15.5" x14ac:dyDescent="0.3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6"/>
    </row>
    <row r="88" spans="1:12" ht="15.5" x14ac:dyDescent="0.3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6"/>
    </row>
    <row r="89" spans="1:12" ht="15.5" x14ac:dyDescent="0.3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6"/>
    </row>
    <row r="90" spans="1:12" ht="15.5" x14ac:dyDescent="0.3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6"/>
    </row>
    <row r="91" spans="1:12" ht="15.5" x14ac:dyDescent="0.3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6"/>
    </row>
    <row r="92" spans="1:12" ht="15.5" x14ac:dyDescent="0.3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6"/>
    </row>
    <row r="93" spans="1:12" ht="15.5" x14ac:dyDescent="0.3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6"/>
    </row>
    <row r="94" spans="1:12" ht="15.5" x14ac:dyDescent="0.3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6"/>
    </row>
    <row r="95" spans="1:12" ht="15.5" x14ac:dyDescent="0.3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6"/>
    </row>
    <row r="96" spans="1:12" ht="15.5" x14ac:dyDescent="0.3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6"/>
    </row>
    <row r="97" spans="1:12" ht="15.5" x14ac:dyDescent="0.3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6"/>
    </row>
    <row r="98" spans="1:12" ht="15.5" x14ac:dyDescent="0.3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6"/>
    </row>
    <row r="99" spans="1:12" ht="15.5" x14ac:dyDescent="0.3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6"/>
    </row>
    <row r="100" spans="1:12" ht="15.5" x14ac:dyDescent="0.3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6"/>
    </row>
    <row r="101" spans="1:12" ht="15.5" x14ac:dyDescent="0.3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6"/>
    </row>
    <row r="102" spans="1:12" ht="15.5" x14ac:dyDescent="0.3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6"/>
    </row>
    <row r="103" spans="1:12" ht="15.5" x14ac:dyDescent="0.3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6"/>
    </row>
    <row r="104" spans="1:12" ht="15.5" x14ac:dyDescent="0.3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6"/>
    </row>
    <row r="105" spans="1:12" ht="15.5" x14ac:dyDescent="0.3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6"/>
    </row>
    <row r="106" spans="1:12" ht="15.5" x14ac:dyDescent="0.3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6"/>
    </row>
    <row r="107" spans="1:12" ht="15.5" x14ac:dyDescent="0.3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6"/>
    </row>
    <row r="108" spans="1:12" ht="15.5" x14ac:dyDescent="0.3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6"/>
    </row>
    <row r="109" spans="1:12" ht="15.5" x14ac:dyDescent="0.3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6"/>
    </row>
    <row r="110" spans="1:12" ht="15.5" x14ac:dyDescent="0.3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6"/>
    </row>
    <row r="111" spans="1:12" ht="15.5" x14ac:dyDescent="0.3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6"/>
    </row>
    <row r="112" spans="1:12" ht="15.5" x14ac:dyDescent="0.3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6"/>
    </row>
    <row r="113" spans="1:12" ht="15.5" x14ac:dyDescent="0.3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6"/>
    </row>
    <row r="114" spans="1:12" ht="15.5" x14ac:dyDescent="0.3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6"/>
    </row>
    <row r="115" spans="1:12" ht="15.5" x14ac:dyDescent="0.3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ht="15.5" x14ac:dyDescent="0.3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6"/>
    </row>
    <row r="117" spans="1:12" ht="15.5" x14ac:dyDescent="0.3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6"/>
    </row>
    <row r="118" spans="1:12" ht="15.5" x14ac:dyDescent="0.3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6"/>
    </row>
    <row r="119" spans="1:12" ht="15.5" x14ac:dyDescent="0.3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6"/>
    </row>
    <row r="120" spans="1:12" ht="15.5" x14ac:dyDescent="0.3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</row>
    <row r="121" spans="1:12" ht="15.5" x14ac:dyDescent="0.3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6"/>
    </row>
    <row r="122" spans="1:12" ht="15.5" x14ac:dyDescent="0.3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6"/>
    </row>
    <row r="123" spans="1:12" ht="15.5" x14ac:dyDescent="0.3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6"/>
    </row>
    <row r="124" spans="1:12" ht="15.5" x14ac:dyDescent="0.3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ht="15.5" x14ac:dyDescent="0.3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6"/>
    </row>
    <row r="126" spans="1:12" ht="15.5" x14ac:dyDescent="0.3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6"/>
    </row>
    <row r="127" spans="1:12" ht="15.5" x14ac:dyDescent="0.3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6"/>
    </row>
    <row r="128" spans="1:12" ht="15.5" x14ac:dyDescent="0.3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6"/>
    </row>
    <row r="129" spans="1:12" ht="15.5" x14ac:dyDescent="0.3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6"/>
    </row>
    <row r="130" spans="1:12" ht="15.5" x14ac:dyDescent="0.3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6"/>
    </row>
    <row r="131" spans="1:12" ht="15.5" x14ac:dyDescent="0.3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6"/>
    </row>
    <row r="132" spans="1:12" ht="15.5" x14ac:dyDescent="0.3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6"/>
    </row>
    <row r="133" spans="1:12" ht="15.5" x14ac:dyDescent="0.3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6"/>
    </row>
    <row r="134" spans="1:12" ht="15.5" x14ac:dyDescent="0.3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6"/>
    </row>
    <row r="135" spans="1:12" ht="15.5" x14ac:dyDescent="0.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6"/>
    </row>
    <row r="136" spans="1:12" ht="15.5" x14ac:dyDescent="0.3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6"/>
    </row>
    <row r="137" spans="1:12" ht="15.5" x14ac:dyDescent="0.3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6"/>
    </row>
    <row r="138" spans="1:12" ht="15.5" x14ac:dyDescent="0.3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6"/>
    </row>
    <row r="139" spans="1:12" ht="15.5" x14ac:dyDescent="0.3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6"/>
    </row>
    <row r="140" spans="1:12" ht="15.5" x14ac:dyDescent="0.3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6"/>
    </row>
    <row r="141" spans="1:12" ht="15.5" x14ac:dyDescent="0.3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6"/>
    </row>
    <row r="142" spans="1:12" ht="15.5" x14ac:dyDescent="0.3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6"/>
    </row>
    <row r="143" spans="1:12" ht="15.5" x14ac:dyDescent="0.3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6"/>
    </row>
    <row r="144" spans="1:12" ht="15.5" x14ac:dyDescent="0.3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6"/>
    </row>
    <row r="145" spans="1:12" ht="15.5" x14ac:dyDescent="0.3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6"/>
    </row>
    <row r="146" spans="1:12" ht="15.5" x14ac:dyDescent="0.3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6"/>
    </row>
    <row r="147" spans="1:12" ht="15.5" x14ac:dyDescent="0.3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6"/>
    </row>
    <row r="148" spans="1:12" ht="15.5" x14ac:dyDescent="0.3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6"/>
    </row>
    <row r="149" spans="1:12" ht="15.5" x14ac:dyDescent="0.3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6"/>
    </row>
    <row r="150" spans="1:12" ht="15.5" x14ac:dyDescent="0.3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6"/>
    </row>
    <row r="151" spans="1:12" ht="15.5" x14ac:dyDescent="0.3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6"/>
    </row>
    <row r="152" spans="1:12" ht="15.5" x14ac:dyDescent="0.3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6"/>
    </row>
    <row r="153" spans="1:12" ht="15.5" x14ac:dyDescent="0.3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6"/>
    </row>
    <row r="154" spans="1:12" ht="15.5" x14ac:dyDescent="0.3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6"/>
    </row>
    <row r="155" spans="1:12" ht="15.5" x14ac:dyDescent="0.3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6"/>
    </row>
    <row r="156" spans="1:12" ht="15.5" x14ac:dyDescent="0.3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6"/>
    </row>
    <row r="157" spans="1:12" ht="15.5" x14ac:dyDescent="0.3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6"/>
    </row>
    <row r="158" spans="1:12" ht="15.5" x14ac:dyDescent="0.3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6"/>
    </row>
    <row r="159" spans="1:12" ht="15.5" x14ac:dyDescent="0.3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6"/>
    </row>
    <row r="160" spans="1:12" ht="15.5" x14ac:dyDescent="0.3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6"/>
    </row>
    <row r="161" spans="1:12" ht="15.5" x14ac:dyDescent="0.3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6"/>
    </row>
    <row r="162" spans="1:12" ht="15.5" x14ac:dyDescent="0.3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6"/>
    </row>
    <row r="163" spans="1:12" ht="15.5" x14ac:dyDescent="0.3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6"/>
    </row>
    <row r="164" spans="1:12" ht="15.5" x14ac:dyDescent="0.3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6"/>
    </row>
    <row r="165" spans="1:12" ht="15.5" x14ac:dyDescent="0.3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6"/>
    </row>
    <row r="166" spans="1:12" ht="15.5" x14ac:dyDescent="0.3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6"/>
    </row>
    <row r="167" spans="1:12" ht="15.5" x14ac:dyDescent="0.3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6"/>
    </row>
    <row r="168" spans="1:12" ht="15.5" x14ac:dyDescent="0.3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6"/>
    </row>
    <row r="169" spans="1:12" ht="15.5" x14ac:dyDescent="0.3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6"/>
    </row>
    <row r="170" spans="1:12" ht="15.5" x14ac:dyDescent="0.3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6"/>
    </row>
    <row r="171" spans="1:12" ht="15.5" x14ac:dyDescent="0.3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6"/>
    </row>
    <row r="172" spans="1:12" ht="15.5" x14ac:dyDescent="0.3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6"/>
    </row>
    <row r="173" spans="1:12" ht="15.5" x14ac:dyDescent="0.3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6"/>
    </row>
    <row r="174" spans="1:12" ht="15.5" x14ac:dyDescent="0.3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6"/>
    </row>
    <row r="175" spans="1:12" ht="15.5" x14ac:dyDescent="0.3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6"/>
    </row>
    <row r="176" spans="1:12" ht="15.5" x14ac:dyDescent="0.3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6"/>
    </row>
    <row r="177" spans="1:12" ht="15.5" x14ac:dyDescent="0.3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6"/>
    </row>
    <row r="178" spans="1:12" ht="15.5" x14ac:dyDescent="0.3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6"/>
    </row>
    <row r="179" spans="1:12" ht="15.5" x14ac:dyDescent="0.3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6"/>
    </row>
    <row r="180" spans="1:12" ht="15.5" x14ac:dyDescent="0.3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6"/>
    </row>
    <row r="181" spans="1:12" ht="15.5" x14ac:dyDescent="0.3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6"/>
    </row>
    <row r="182" spans="1:12" ht="15.5" x14ac:dyDescent="0.3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6"/>
    </row>
    <row r="183" spans="1:12" ht="15.5" x14ac:dyDescent="0.3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6"/>
    </row>
    <row r="184" spans="1:12" ht="15.5" x14ac:dyDescent="0.3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6"/>
    </row>
    <row r="185" spans="1:12" ht="15.5" x14ac:dyDescent="0.3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6"/>
    </row>
    <row r="186" spans="1:12" ht="15.5" x14ac:dyDescent="0.3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6"/>
    </row>
    <row r="187" spans="1:12" ht="15.5" x14ac:dyDescent="0.3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6"/>
    </row>
    <row r="188" spans="1:12" ht="15.5" x14ac:dyDescent="0.3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6"/>
    </row>
    <row r="189" spans="1:12" ht="15.5" x14ac:dyDescent="0.3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6"/>
    </row>
    <row r="190" spans="1:12" ht="15.5" x14ac:dyDescent="0.3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6"/>
    </row>
    <row r="191" spans="1:12" ht="15.5" x14ac:dyDescent="0.3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6"/>
    </row>
    <row r="192" spans="1:12" ht="15.5" x14ac:dyDescent="0.3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6"/>
    </row>
    <row r="193" spans="1:12" ht="15.5" x14ac:dyDescent="0.3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6"/>
    </row>
    <row r="194" spans="1:12" ht="15.5" x14ac:dyDescent="0.3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6"/>
    </row>
    <row r="195" spans="1:12" ht="15.5" x14ac:dyDescent="0.3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6"/>
    </row>
    <row r="196" spans="1:12" ht="15.5" x14ac:dyDescent="0.3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6"/>
    </row>
    <row r="197" spans="1:12" ht="15.5" x14ac:dyDescent="0.3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6"/>
    </row>
    <row r="198" spans="1:12" ht="15.5" x14ac:dyDescent="0.3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6"/>
    </row>
    <row r="199" spans="1:12" ht="15.5" x14ac:dyDescent="0.3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6"/>
    </row>
    <row r="200" spans="1:12" ht="15.5" x14ac:dyDescent="0.3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6"/>
    </row>
    <row r="201" spans="1:12" ht="15.5" x14ac:dyDescent="0.3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6"/>
    </row>
    <row r="202" spans="1:12" ht="15.5" x14ac:dyDescent="0.3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6"/>
    </row>
    <row r="203" spans="1:12" ht="15.5" x14ac:dyDescent="0.3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6"/>
    </row>
    <row r="204" spans="1:12" ht="15.5" x14ac:dyDescent="0.3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6"/>
    </row>
    <row r="205" spans="1:12" ht="15.5" x14ac:dyDescent="0.3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6"/>
    </row>
    <row r="206" spans="1:12" ht="15.5" x14ac:dyDescent="0.3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6"/>
    </row>
    <row r="207" spans="1:12" ht="15.5" x14ac:dyDescent="0.3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6"/>
    </row>
    <row r="208" spans="1:12" ht="15.5" x14ac:dyDescent="0.3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6"/>
    </row>
    <row r="209" spans="1:12" ht="15.5" x14ac:dyDescent="0.3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6"/>
    </row>
    <row r="210" spans="1:12" ht="15.5" x14ac:dyDescent="0.3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6"/>
    </row>
    <row r="211" spans="1:12" ht="15.5" x14ac:dyDescent="0.3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6"/>
    </row>
    <row r="212" spans="1:12" ht="15.5" x14ac:dyDescent="0.3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6"/>
    </row>
    <row r="213" spans="1:12" ht="15.5" x14ac:dyDescent="0.3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6"/>
    </row>
    <row r="214" spans="1:12" ht="15.5" x14ac:dyDescent="0.3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6"/>
    </row>
    <row r="215" spans="1:12" ht="15.5" x14ac:dyDescent="0.3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6"/>
    </row>
    <row r="216" spans="1:12" ht="15.5" x14ac:dyDescent="0.3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6"/>
    </row>
    <row r="217" spans="1:12" ht="15.5" x14ac:dyDescent="0.3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6"/>
    </row>
    <row r="218" spans="1:12" ht="15.5" x14ac:dyDescent="0.3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6"/>
    </row>
    <row r="219" spans="1:12" ht="15.5" x14ac:dyDescent="0.3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6"/>
    </row>
    <row r="220" spans="1:12" ht="15.5" x14ac:dyDescent="0.3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6"/>
    </row>
    <row r="221" spans="1:12" ht="15.5" x14ac:dyDescent="0.3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6"/>
    </row>
    <row r="222" spans="1:12" ht="15.5" x14ac:dyDescent="0.3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6"/>
    </row>
    <row r="223" spans="1:12" ht="15.5" x14ac:dyDescent="0.3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6"/>
    </row>
    <row r="224" spans="1:12" ht="15.5" x14ac:dyDescent="0.3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6"/>
    </row>
    <row r="225" spans="1:12" ht="15.5" x14ac:dyDescent="0.3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6"/>
    </row>
    <row r="226" spans="1:12" ht="15.5" x14ac:dyDescent="0.3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6"/>
    </row>
    <row r="227" spans="1:12" ht="15.5" x14ac:dyDescent="0.3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6"/>
    </row>
    <row r="228" spans="1:12" ht="15.5" x14ac:dyDescent="0.3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6"/>
    </row>
    <row r="229" spans="1:12" ht="15.5" x14ac:dyDescent="0.3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6"/>
    </row>
    <row r="230" spans="1:12" ht="15.5" x14ac:dyDescent="0.3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6"/>
    </row>
    <row r="231" spans="1:12" ht="15.5" x14ac:dyDescent="0.3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6"/>
    </row>
    <row r="232" spans="1:12" ht="15.5" x14ac:dyDescent="0.3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6"/>
    </row>
    <row r="233" spans="1:12" ht="15.5" x14ac:dyDescent="0.3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6"/>
    </row>
    <row r="234" spans="1:12" ht="15.5" x14ac:dyDescent="0.3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6"/>
    </row>
    <row r="235" spans="1:12" ht="15.5" x14ac:dyDescent="0.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6"/>
    </row>
    <row r="236" spans="1:12" ht="15.5" x14ac:dyDescent="0.3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6"/>
    </row>
    <row r="237" spans="1:12" ht="15.5" x14ac:dyDescent="0.3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6"/>
    </row>
    <row r="238" spans="1:12" ht="15.5" x14ac:dyDescent="0.3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6"/>
    </row>
    <row r="239" spans="1:12" ht="15.5" x14ac:dyDescent="0.3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6"/>
    </row>
    <row r="240" spans="1:12" ht="15.5" x14ac:dyDescent="0.3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6"/>
    </row>
    <row r="241" spans="1:12" ht="15.5" x14ac:dyDescent="0.3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6"/>
    </row>
    <row r="242" spans="1:12" ht="15.5" x14ac:dyDescent="0.3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6"/>
    </row>
    <row r="243" spans="1:12" ht="15.5" x14ac:dyDescent="0.3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6"/>
    </row>
    <row r="244" spans="1:12" ht="15.5" x14ac:dyDescent="0.3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6"/>
    </row>
    <row r="245" spans="1:12" ht="15.5" x14ac:dyDescent="0.3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6"/>
    </row>
    <row r="246" spans="1:12" ht="15.5" x14ac:dyDescent="0.3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6"/>
    </row>
    <row r="247" spans="1:12" ht="15.5" x14ac:dyDescent="0.3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6"/>
    </row>
    <row r="248" spans="1:12" ht="15.5" x14ac:dyDescent="0.3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6"/>
    </row>
    <row r="249" spans="1:12" ht="15.5" x14ac:dyDescent="0.3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6"/>
    </row>
    <row r="250" spans="1:12" ht="15.5" x14ac:dyDescent="0.3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6"/>
    </row>
    <row r="251" spans="1:12" ht="15.5" x14ac:dyDescent="0.3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6"/>
    </row>
    <row r="252" spans="1:12" ht="15.5" x14ac:dyDescent="0.3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6"/>
    </row>
    <row r="253" spans="1:12" ht="15.5" x14ac:dyDescent="0.3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6"/>
    </row>
    <row r="254" spans="1:12" ht="15.5" x14ac:dyDescent="0.3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6"/>
    </row>
    <row r="255" spans="1:12" ht="15.5" x14ac:dyDescent="0.3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6"/>
    </row>
    <row r="256" spans="1:12" ht="15.5" x14ac:dyDescent="0.3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6"/>
    </row>
    <row r="257" spans="1:12" ht="15.5" x14ac:dyDescent="0.3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6"/>
    </row>
    <row r="258" spans="1:12" ht="15.5" x14ac:dyDescent="0.3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6"/>
    </row>
    <row r="259" spans="1:12" ht="15.5" x14ac:dyDescent="0.3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6"/>
    </row>
    <row r="260" spans="1:12" ht="15.5" x14ac:dyDescent="0.3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6"/>
    </row>
    <row r="261" spans="1:12" ht="15.5" x14ac:dyDescent="0.3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6"/>
    </row>
    <row r="262" spans="1:12" ht="15.5" x14ac:dyDescent="0.3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6"/>
    </row>
    <row r="263" spans="1:12" ht="15.5" x14ac:dyDescent="0.3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6"/>
    </row>
    <row r="264" spans="1:12" ht="15.5" x14ac:dyDescent="0.3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6"/>
    </row>
    <row r="265" spans="1:12" ht="15.5" x14ac:dyDescent="0.3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6"/>
    </row>
    <row r="266" spans="1:12" ht="15.5" x14ac:dyDescent="0.3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6"/>
    </row>
    <row r="267" spans="1:12" ht="15.5" x14ac:dyDescent="0.3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6"/>
    </row>
    <row r="268" spans="1:12" ht="15.5" x14ac:dyDescent="0.3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6"/>
    </row>
    <row r="269" spans="1:12" ht="15.5" x14ac:dyDescent="0.3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6"/>
    </row>
    <row r="270" spans="1:12" ht="15.5" x14ac:dyDescent="0.3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6"/>
    </row>
    <row r="271" spans="1:12" ht="15.5" x14ac:dyDescent="0.3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6"/>
    </row>
    <row r="272" spans="1:12" ht="15.5" x14ac:dyDescent="0.3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6"/>
    </row>
    <row r="273" spans="1:12" ht="15.5" x14ac:dyDescent="0.3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6"/>
    </row>
    <row r="274" spans="1:12" ht="15.5" x14ac:dyDescent="0.3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6"/>
    </row>
    <row r="275" spans="1:12" ht="15.5" x14ac:dyDescent="0.3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6"/>
    </row>
    <row r="276" spans="1:12" ht="15.5" x14ac:dyDescent="0.3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6"/>
    </row>
    <row r="277" spans="1:12" ht="15.5" x14ac:dyDescent="0.3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6"/>
    </row>
    <row r="278" spans="1:12" ht="15.5" x14ac:dyDescent="0.3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6"/>
    </row>
    <row r="279" spans="1:12" ht="15.5" x14ac:dyDescent="0.3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6"/>
    </row>
    <row r="280" spans="1:12" ht="15.5" x14ac:dyDescent="0.3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6"/>
    </row>
    <row r="281" spans="1:12" ht="15.5" x14ac:dyDescent="0.3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6"/>
    </row>
    <row r="282" spans="1:12" ht="15.5" x14ac:dyDescent="0.3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6"/>
    </row>
    <row r="283" spans="1:12" ht="15.5" x14ac:dyDescent="0.3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6"/>
    </row>
    <row r="284" spans="1:12" ht="15.5" x14ac:dyDescent="0.3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6"/>
    </row>
    <row r="285" spans="1:12" ht="15.5" x14ac:dyDescent="0.3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6"/>
    </row>
    <row r="286" spans="1:12" ht="15.5" x14ac:dyDescent="0.3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6"/>
    </row>
    <row r="287" spans="1:12" ht="15.5" x14ac:dyDescent="0.3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6"/>
    </row>
    <row r="288" spans="1:12" ht="15.5" x14ac:dyDescent="0.3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6"/>
    </row>
    <row r="289" spans="1:12" ht="15.5" x14ac:dyDescent="0.3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6"/>
    </row>
    <row r="290" spans="1:12" ht="15.5" x14ac:dyDescent="0.3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6"/>
    </row>
    <row r="291" spans="1:12" ht="15.5" x14ac:dyDescent="0.3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6"/>
    </row>
    <row r="292" spans="1:12" ht="15.5" x14ac:dyDescent="0.3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6"/>
    </row>
    <row r="293" spans="1:12" ht="15.5" x14ac:dyDescent="0.3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6"/>
    </row>
    <row r="294" spans="1:12" ht="15.5" x14ac:dyDescent="0.3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6"/>
    </row>
    <row r="295" spans="1:12" ht="15.5" x14ac:dyDescent="0.3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6"/>
    </row>
    <row r="296" spans="1:12" ht="15.5" x14ac:dyDescent="0.3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6"/>
    </row>
    <row r="297" spans="1:12" ht="15.5" x14ac:dyDescent="0.3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6"/>
    </row>
    <row r="298" spans="1:12" ht="15.5" x14ac:dyDescent="0.3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6"/>
    </row>
    <row r="299" spans="1:12" ht="15.5" x14ac:dyDescent="0.3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6"/>
    </row>
    <row r="300" spans="1:12" ht="15.5" x14ac:dyDescent="0.3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6"/>
    </row>
    <row r="301" spans="1:12" ht="15.5" x14ac:dyDescent="0.3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6"/>
    </row>
    <row r="302" spans="1:12" ht="15.5" x14ac:dyDescent="0.3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6"/>
    </row>
    <row r="303" spans="1:12" ht="15.5" x14ac:dyDescent="0.3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6"/>
    </row>
    <row r="304" spans="1:12" ht="15.5" x14ac:dyDescent="0.3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6"/>
    </row>
    <row r="305" spans="1:12" ht="15.5" x14ac:dyDescent="0.3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6"/>
    </row>
    <row r="306" spans="1:12" ht="15.5" x14ac:dyDescent="0.3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6"/>
    </row>
    <row r="307" spans="1:12" ht="15.5" x14ac:dyDescent="0.3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6"/>
    </row>
    <row r="308" spans="1:12" ht="15.5" x14ac:dyDescent="0.3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6"/>
    </row>
    <row r="309" spans="1:12" ht="15.5" x14ac:dyDescent="0.3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6"/>
    </row>
    <row r="310" spans="1:12" ht="15.5" x14ac:dyDescent="0.3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6"/>
    </row>
    <row r="311" spans="1:12" ht="15.5" x14ac:dyDescent="0.3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6"/>
    </row>
    <row r="312" spans="1:12" ht="15.5" x14ac:dyDescent="0.3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6"/>
    </row>
    <row r="313" spans="1:12" ht="15.5" x14ac:dyDescent="0.3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6"/>
    </row>
    <row r="314" spans="1:12" ht="15.5" x14ac:dyDescent="0.3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6"/>
    </row>
    <row r="315" spans="1:12" ht="15.5" x14ac:dyDescent="0.3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6"/>
    </row>
    <row r="316" spans="1:12" ht="15.5" x14ac:dyDescent="0.3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6"/>
    </row>
    <row r="317" spans="1:12" ht="15.5" x14ac:dyDescent="0.3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6"/>
    </row>
    <row r="318" spans="1:12" ht="15.5" x14ac:dyDescent="0.3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6"/>
    </row>
    <row r="319" spans="1:12" ht="15.5" x14ac:dyDescent="0.3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6"/>
    </row>
    <row r="320" spans="1:12" ht="15.5" x14ac:dyDescent="0.3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6"/>
    </row>
    <row r="321" spans="1:12" ht="15.5" x14ac:dyDescent="0.3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6"/>
    </row>
    <row r="322" spans="1:12" ht="15.5" x14ac:dyDescent="0.3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6"/>
    </row>
    <row r="323" spans="1:12" ht="15.5" x14ac:dyDescent="0.3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6"/>
    </row>
    <row r="324" spans="1:12" ht="15.5" x14ac:dyDescent="0.3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6"/>
    </row>
    <row r="325" spans="1:12" ht="15.5" x14ac:dyDescent="0.3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6"/>
    </row>
    <row r="326" spans="1:12" ht="15.5" x14ac:dyDescent="0.3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6"/>
    </row>
    <row r="327" spans="1:12" ht="15.5" x14ac:dyDescent="0.3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6"/>
    </row>
    <row r="328" spans="1:12" ht="15.5" x14ac:dyDescent="0.3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6"/>
    </row>
    <row r="329" spans="1:12" ht="15.5" x14ac:dyDescent="0.3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6"/>
    </row>
    <row r="330" spans="1:12" ht="15.5" x14ac:dyDescent="0.3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6"/>
    </row>
    <row r="331" spans="1:12" ht="15.5" x14ac:dyDescent="0.3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6"/>
    </row>
    <row r="332" spans="1:12" ht="15.5" x14ac:dyDescent="0.3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6"/>
    </row>
    <row r="333" spans="1:12" ht="15.5" x14ac:dyDescent="0.3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6"/>
    </row>
    <row r="334" spans="1:12" ht="15.5" x14ac:dyDescent="0.3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6"/>
    </row>
    <row r="335" spans="1:12" ht="15.5" x14ac:dyDescent="0.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6"/>
    </row>
    <row r="336" spans="1:12" ht="15.5" x14ac:dyDescent="0.3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6"/>
    </row>
    <row r="337" spans="1:12" ht="15.5" x14ac:dyDescent="0.3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6"/>
    </row>
    <row r="338" spans="1:12" ht="15.5" x14ac:dyDescent="0.3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6"/>
    </row>
    <row r="339" spans="1:12" ht="15.5" x14ac:dyDescent="0.3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6"/>
    </row>
    <row r="340" spans="1:12" ht="15.5" x14ac:dyDescent="0.3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6"/>
    </row>
    <row r="341" spans="1:12" ht="15.5" x14ac:dyDescent="0.3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6"/>
    </row>
    <row r="342" spans="1:12" ht="15.5" x14ac:dyDescent="0.3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6"/>
    </row>
    <row r="343" spans="1:12" ht="15.5" x14ac:dyDescent="0.3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6"/>
    </row>
    <row r="344" spans="1:12" ht="15.5" x14ac:dyDescent="0.3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6"/>
    </row>
    <row r="345" spans="1:12" ht="15.5" x14ac:dyDescent="0.3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6"/>
    </row>
    <row r="346" spans="1:12" ht="15.5" x14ac:dyDescent="0.3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6"/>
    </row>
    <row r="347" spans="1:12" ht="15.5" x14ac:dyDescent="0.3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6"/>
    </row>
    <row r="348" spans="1:12" ht="15.5" x14ac:dyDescent="0.3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6"/>
    </row>
    <row r="349" spans="1:12" ht="15.5" x14ac:dyDescent="0.3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6"/>
    </row>
    <row r="350" spans="1:12" ht="15.5" x14ac:dyDescent="0.3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6"/>
    </row>
    <row r="351" spans="1:12" ht="15.5" x14ac:dyDescent="0.3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6"/>
    </row>
    <row r="352" spans="1:12" ht="15.5" x14ac:dyDescent="0.3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6"/>
    </row>
    <row r="353" spans="1:12" ht="15.5" x14ac:dyDescent="0.3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6"/>
    </row>
    <row r="354" spans="1:12" ht="15.5" x14ac:dyDescent="0.3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6"/>
    </row>
    <row r="355" spans="1:12" ht="15.5" x14ac:dyDescent="0.3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6"/>
    </row>
    <row r="356" spans="1:12" ht="15.5" x14ac:dyDescent="0.3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6"/>
    </row>
    <row r="357" spans="1:12" ht="15.5" x14ac:dyDescent="0.3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6"/>
    </row>
    <row r="358" spans="1:12" ht="15.5" x14ac:dyDescent="0.3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6"/>
    </row>
    <row r="359" spans="1:12" ht="15.5" x14ac:dyDescent="0.3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6"/>
    </row>
    <row r="360" spans="1:12" ht="15.5" x14ac:dyDescent="0.3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6"/>
    </row>
    <row r="361" spans="1:12" ht="15.5" x14ac:dyDescent="0.3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6"/>
    </row>
    <row r="362" spans="1:12" ht="15.5" x14ac:dyDescent="0.3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6"/>
    </row>
    <row r="363" spans="1:12" ht="15.5" x14ac:dyDescent="0.3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6"/>
    </row>
    <row r="364" spans="1:12" ht="15.5" x14ac:dyDescent="0.3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6"/>
    </row>
    <row r="365" spans="1:12" ht="15.5" x14ac:dyDescent="0.3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6"/>
    </row>
    <row r="366" spans="1:12" ht="15.5" x14ac:dyDescent="0.3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6"/>
    </row>
    <row r="367" spans="1:12" ht="15.5" x14ac:dyDescent="0.3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6"/>
    </row>
    <row r="368" spans="1:12" ht="15.5" x14ac:dyDescent="0.3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6"/>
    </row>
    <row r="369" spans="1:12" ht="15.5" x14ac:dyDescent="0.3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6"/>
    </row>
    <row r="370" spans="1:12" ht="15.5" x14ac:dyDescent="0.3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6"/>
    </row>
    <row r="371" spans="1:12" ht="15.5" x14ac:dyDescent="0.3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6"/>
    </row>
    <row r="372" spans="1:12" ht="15.5" x14ac:dyDescent="0.3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6"/>
    </row>
    <row r="373" spans="1:12" ht="15.5" x14ac:dyDescent="0.3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6"/>
    </row>
    <row r="374" spans="1:12" ht="15.5" x14ac:dyDescent="0.3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6"/>
    </row>
    <row r="375" spans="1:12" ht="15.5" x14ac:dyDescent="0.3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6"/>
    </row>
    <row r="376" spans="1:12" ht="15.5" x14ac:dyDescent="0.3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6"/>
    </row>
    <row r="377" spans="1:12" ht="15.5" x14ac:dyDescent="0.3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6"/>
    </row>
    <row r="378" spans="1:12" ht="15.5" x14ac:dyDescent="0.3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6"/>
    </row>
    <row r="379" spans="1:12" ht="15.5" x14ac:dyDescent="0.3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6"/>
    </row>
    <row r="380" spans="1:12" ht="15.5" x14ac:dyDescent="0.3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6"/>
    </row>
    <row r="381" spans="1:12" ht="15.5" x14ac:dyDescent="0.3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6"/>
    </row>
    <row r="382" spans="1:12" ht="15.5" x14ac:dyDescent="0.3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6"/>
    </row>
    <row r="383" spans="1:12" ht="15.5" x14ac:dyDescent="0.3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6"/>
    </row>
    <row r="384" spans="1:12" ht="15.5" x14ac:dyDescent="0.3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6"/>
    </row>
    <row r="385" spans="1:12" ht="15.5" x14ac:dyDescent="0.3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6"/>
    </row>
    <row r="386" spans="1:12" ht="15.5" x14ac:dyDescent="0.3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6"/>
    </row>
    <row r="387" spans="1:12" ht="15.5" x14ac:dyDescent="0.3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6"/>
    </row>
    <row r="388" spans="1:12" ht="15.5" x14ac:dyDescent="0.3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6"/>
    </row>
    <row r="389" spans="1:12" ht="15.5" x14ac:dyDescent="0.3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6"/>
    </row>
    <row r="390" spans="1:12" ht="15.5" x14ac:dyDescent="0.3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6"/>
    </row>
    <row r="391" spans="1:12" ht="15.5" x14ac:dyDescent="0.3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6"/>
    </row>
    <row r="392" spans="1:12" ht="15.5" x14ac:dyDescent="0.3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6"/>
    </row>
    <row r="393" spans="1:12" ht="15.5" x14ac:dyDescent="0.3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6"/>
    </row>
    <row r="394" spans="1:12" ht="15.5" x14ac:dyDescent="0.3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6"/>
    </row>
    <row r="395" spans="1:12" ht="15.5" x14ac:dyDescent="0.3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6"/>
    </row>
    <row r="396" spans="1:12" ht="15.5" x14ac:dyDescent="0.3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6"/>
    </row>
    <row r="397" spans="1:12" ht="15.5" x14ac:dyDescent="0.3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6"/>
    </row>
    <row r="398" spans="1:12" ht="15.5" x14ac:dyDescent="0.3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6"/>
    </row>
    <row r="399" spans="1:12" ht="15.5" x14ac:dyDescent="0.3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6"/>
    </row>
    <row r="400" spans="1:12" ht="15.5" x14ac:dyDescent="0.3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6"/>
    </row>
    <row r="401" spans="1:12" ht="15.5" x14ac:dyDescent="0.3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6"/>
    </row>
    <row r="402" spans="1:12" ht="15.5" x14ac:dyDescent="0.3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6"/>
    </row>
    <row r="403" spans="1:12" ht="15.5" x14ac:dyDescent="0.3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6"/>
    </row>
    <row r="404" spans="1:12" ht="15.5" x14ac:dyDescent="0.3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6"/>
    </row>
    <row r="405" spans="1:12" ht="15.5" x14ac:dyDescent="0.3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6"/>
    </row>
    <row r="406" spans="1:12" ht="15.5" x14ac:dyDescent="0.3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6"/>
    </row>
    <row r="407" spans="1:12" ht="15.5" x14ac:dyDescent="0.3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6"/>
    </row>
    <row r="408" spans="1:12" ht="15.5" x14ac:dyDescent="0.3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6"/>
    </row>
    <row r="409" spans="1:12" ht="15.5" x14ac:dyDescent="0.3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6"/>
    </row>
    <row r="410" spans="1:12" ht="15.5" x14ac:dyDescent="0.3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6"/>
    </row>
    <row r="411" spans="1:12" ht="15.5" x14ac:dyDescent="0.3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6"/>
    </row>
    <row r="412" spans="1:12" ht="15.5" x14ac:dyDescent="0.3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6"/>
    </row>
    <row r="413" spans="1:12" ht="15.5" x14ac:dyDescent="0.3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6"/>
    </row>
    <row r="414" spans="1:12" ht="15.5" x14ac:dyDescent="0.3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6"/>
    </row>
    <row r="415" spans="1:12" ht="15.5" x14ac:dyDescent="0.3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6"/>
    </row>
    <row r="416" spans="1:12" ht="15.5" x14ac:dyDescent="0.3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6"/>
    </row>
    <row r="417" spans="1:12" ht="15.5" x14ac:dyDescent="0.3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6"/>
    </row>
    <row r="418" spans="1:12" ht="15.5" x14ac:dyDescent="0.3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6"/>
    </row>
    <row r="419" spans="1:12" ht="15.5" x14ac:dyDescent="0.3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6"/>
    </row>
    <row r="420" spans="1:12" ht="15.5" x14ac:dyDescent="0.3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6"/>
    </row>
    <row r="421" spans="1:12" ht="15.5" x14ac:dyDescent="0.3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6"/>
    </row>
    <row r="422" spans="1:12" ht="15.5" x14ac:dyDescent="0.3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6"/>
    </row>
    <row r="423" spans="1:12" ht="15.5" x14ac:dyDescent="0.3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6"/>
    </row>
    <row r="424" spans="1:12" ht="15.5" x14ac:dyDescent="0.3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6"/>
    </row>
    <row r="425" spans="1:12" ht="15.5" x14ac:dyDescent="0.3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6"/>
    </row>
    <row r="426" spans="1:12" ht="15.5" x14ac:dyDescent="0.3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6"/>
    </row>
    <row r="427" spans="1:12" ht="15.5" x14ac:dyDescent="0.3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6"/>
    </row>
    <row r="428" spans="1:12" ht="15.5" x14ac:dyDescent="0.3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6"/>
    </row>
    <row r="429" spans="1:12" ht="15.5" x14ac:dyDescent="0.3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6"/>
    </row>
    <row r="430" spans="1:12" ht="15.5" x14ac:dyDescent="0.3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6"/>
    </row>
    <row r="431" spans="1:12" ht="15.5" x14ac:dyDescent="0.3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6"/>
    </row>
    <row r="432" spans="1:12" ht="15.5" x14ac:dyDescent="0.3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6"/>
    </row>
    <row r="433" spans="1:12" ht="15.5" x14ac:dyDescent="0.3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6"/>
    </row>
    <row r="434" spans="1:12" ht="15.5" x14ac:dyDescent="0.3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6"/>
    </row>
    <row r="435" spans="1:12" ht="15.5" x14ac:dyDescent="0.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6"/>
    </row>
    <row r="436" spans="1:12" ht="15.5" x14ac:dyDescent="0.3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6"/>
    </row>
    <row r="437" spans="1:12" ht="15.5" x14ac:dyDescent="0.3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6"/>
    </row>
    <row r="438" spans="1:12" ht="15.5" x14ac:dyDescent="0.3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6"/>
    </row>
    <row r="439" spans="1:12" ht="15.5" x14ac:dyDescent="0.3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6"/>
    </row>
    <row r="440" spans="1:12" ht="15.5" x14ac:dyDescent="0.3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6"/>
    </row>
    <row r="441" spans="1:12" ht="15.5" x14ac:dyDescent="0.3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6"/>
    </row>
    <row r="442" spans="1:12" ht="15.5" x14ac:dyDescent="0.3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6"/>
    </row>
    <row r="443" spans="1:12" ht="15.5" x14ac:dyDescent="0.3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6"/>
    </row>
    <row r="444" spans="1:12" ht="15.5" x14ac:dyDescent="0.3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6"/>
    </row>
    <row r="445" spans="1:12" ht="15.5" x14ac:dyDescent="0.3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6"/>
    </row>
    <row r="446" spans="1:12" ht="15.5" x14ac:dyDescent="0.3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6"/>
    </row>
    <row r="447" spans="1:12" ht="15.5" x14ac:dyDescent="0.3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6"/>
    </row>
    <row r="448" spans="1:12" ht="15.5" x14ac:dyDescent="0.3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6"/>
    </row>
    <row r="449" spans="1:12" ht="15.5" x14ac:dyDescent="0.3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6"/>
    </row>
    <row r="450" spans="1:12" ht="15.5" x14ac:dyDescent="0.3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6"/>
    </row>
    <row r="451" spans="1:12" ht="15.5" x14ac:dyDescent="0.3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6"/>
    </row>
    <row r="452" spans="1:12" ht="15.5" x14ac:dyDescent="0.3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6"/>
    </row>
    <row r="453" spans="1:12" ht="15.5" x14ac:dyDescent="0.3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6"/>
    </row>
    <row r="454" spans="1:12" ht="15.5" x14ac:dyDescent="0.3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6"/>
    </row>
    <row r="455" spans="1:12" ht="15.5" x14ac:dyDescent="0.3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6"/>
    </row>
    <row r="456" spans="1:12" ht="15.5" x14ac:dyDescent="0.3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6"/>
    </row>
    <row r="457" spans="1:12" ht="15.5" x14ac:dyDescent="0.3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6"/>
    </row>
    <row r="458" spans="1:12" ht="15.5" x14ac:dyDescent="0.3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6"/>
    </row>
    <row r="459" spans="1:12" ht="15.5" x14ac:dyDescent="0.3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6"/>
    </row>
    <row r="460" spans="1:12" ht="15.5" x14ac:dyDescent="0.3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6"/>
    </row>
    <row r="461" spans="1:12" ht="15.5" x14ac:dyDescent="0.3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6"/>
    </row>
    <row r="462" spans="1:12" ht="15.5" x14ac:dyDescent="0.3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6"/>
    </row>
    <row r="463" spans="1:12" ht="15.5" x14ac:dyDescent="0.3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6"/>
    </row>
    <row r="464" spans="1:12" ht="15.5" x14ac:dyDescent="0.3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6"/>
    </row>
    <row r="465" spans="1:12" ht="15.5" x14ac:dyDescent="0.3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6"/>
    </row>
    <row r="466" spans="1:12" ht="15.5" x14ac:dyDescent="0.3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6"/>
    </row>
    <row r="467" spans="1:12" ht="15.5" x14ac:dyDescent="0.3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6"/>
    </row>
    <row r="468" spans="1:12" ht="15.5" x14ac:dyDescent="0.3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6"/>
    </row>
    <row r="469" spans="1:12" ht="15.5" x14ac:dyDescent="0.3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6"/>
    </row>
    <row r="470" spans="1:12" ht="15.5" x14ac:dyDescent="0.3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6"/>
    </row>
    <row r="471" spans="1:12" ht="15.5" x14ac:dyDescent="0.3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6"/>
    </row>
    <row r="472" spans="1:12" ht="15.5" x14ac:dyDescent="0.3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6"/>
    </row>
    <row r="473" spans="1:12" ht="15.5" x14ac:dyDescent="0.3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6"/>
    </row>
    <row r="474" spans="1:12" ht="15.5" x14ac:dyDescent="0.3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6"/>
    </row>
    <row r="475" spans="1:12" ht="15.5" x14ac:dyDescent="0.3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6"/>
    </row>
    <row r="476" spans="1:12" ht="15.5" x14ac:dyDescent="0.3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6"/>
    </row>
    <row r="477" spans="1:12" ht="15.5" x14ac:dyDescent="0.3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6"/>
    </row>
    <row r="478" spans="1:12" ht="15.5" x14ac:dyDescent="0.3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6"/>
    </row>
    <row r="479" spans="1:12" ht="15.5" x14ac:dyDescent="0.3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6"/>
    </row>
    <row r="480" spans="1:12" ht="15.5" x14ac:dyDescent="0.3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6"/>
    </row>
    <row r="481" spans="1:12" ht="15.5" x14ac:dyDescent="0.3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6"/>
    </row>
    <row r="482" spans="1:12" ht="15.5" x14ac:dyDescent="0.3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6"/>
    </row>
    <row r="483" spans="1:12" ht="15.5" x14ac:dyDescent="0.3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6"/>
    </row>
    <row r="484" spans="1:12" ht="15.5" x14ac:dyDescent="0.3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6"/>
    </row>
    <row r="485" spans="1:12" ht="15.5" x14ac:dyDescent="0.3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6"/>
    </row>
    <row r="486" spans="1:12" ht="15.5" x14ac:dyDescent="0.3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6"/>
    </row>
    <row r="487" spans="1:12" ht="15.5" x14ac:dyDescent="0.3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6"/>
    </row>
    <row r="488" spans="1:12" ht="15.5" x14ac:dyDescent="0.3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6"/>
    </row>
    <row r="489" spans="1:12" ht="15.5" x14ac:dyDescent="0.3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6"/>
    </row>
    <row r="490" spans="1:12" ht="15.5" x14ac:dyDescent="0.3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6"/>
    </row>
    <row r="491" spans="1:12" ht="15.5" x14ac:dyDescent="0.3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6"/>
    </row>
    <row r="492" spans="1:12" ht="15.5" x14ac:dyDescent="0.3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6"/>
    </row>
    <row r="493" spans="1:12" ht="15.5" x14ac:dyDescent="0.3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6"/>
    </row>
    <row r="494" spans="1:12" ht="15.5" x14ac:dyDescent="0.3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6"/>
    </row>
    <row r="495" spans="1:12" ht="15.5" x14ac:dyDescent="0.3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6"/>
    </row>
    <row r="496" spans="1:12" ht="15.5" x14ac:dyDescent="0.3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6"/>
    </row>
    <row r="497" spans="1:12" ht="15.5" x14ac:dyDescent="0.3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6"/>
    </row>
    <row r="498" spans="1:12" ht="15.5" x14ac:dyDescent="0.3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6"/>
    </row>
    <row r="499" spans="1:12" ht="15.5" x14ac:dyDescent="0.3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6"/>
    </row>
    <row r="500" spans="1:12" ht="15.5" x14ac:dyDescent="0.3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6"/>
    </row>
    <row r="501" spans="1:12" ht="15.5" x14ac:dyDescent="0.3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6"/>
    </row>
    <row r="502" spans="1:12" ht="15.5" x14ac:dyDescent="0.3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6"/>
    </row>
  </sheetData>
  <pageMargins left="0.7" right="0.7" top="0.75" bottom="0.75" header="0.3" footer="0.3"/>
  <pageSetup orientation="portrait" horizontalDpi="300" verticalDpi="300" r:id="rId1"/>
  <headerFooter>
    <oddHeader>&amp;CFinancial Modelling Center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80"/>
  <sheetViews>
    <sheetView showGridLines="0" topLeftCell="A71" workbookViewId="0">
      <selection activeCell="H7" sqref="H7"/>
    </sheetView>
  </sheetViews>
  <sheetFormatPr defaultColWidth="8.81640625" defaultRowHeight="15" x14ac:dyDescent="0.3"/>
  <cols>
    <col min="1" max="16384" width="8.81640625" style="10"/>
  </cols>
  <sheetData>
    <row r="2" spans="1:11" ht="15.5" x14ac:dyDescent="0.35">
      <c r="A2" s="10" t="s">
        <v>26</v>
      </c>
      <c r="B2"/>
      <c r="C2"/>
      <c r="D2"/>
      <c r="E2"/>
      <c r="F2"/>
      <c r="G2"/>
      <c r="H2"/>
      <c r="I2"/>
      <c r="J2"/>
      <c r="K2"/>
    </row>
    <row r="3" spans="1:11" ht="15.5" x14ac:dyDescent="0.35">
      <c r="A3" s="10" t="s">
        <v>45</v>
      </c>
      <c r="B3"/>
      <c r="C3"/>
      <c r="D3"/>
      <c r="E3"/>
      <c r="F3"/>
      <c r="G3"/>
      <c r="H3"/>
      <c r="I3"/>
      <c r="J3"/>
      <c r="K3"/>
    </row>
    <row r="4" spans="1:11" ht="15.5" x14ac:dyDescent="0.35">
      <c r="A4"/>
      <c r="B4"/>
      <c r="C4"/>
      <c r="D4"/>
      <c r="E4"/>
      <c r="F4"/>
      <c r="G4"/>
      <c r="H4"/>
      <c r="I4"/>
      <c r="J4"/>
      <c r="K4"/>
    </row>
    <row r="5" spans="1:11" x14ac:dyDescent="0.3">
      <c r="A5" s="38" t="s">
        <v>165</v>
      </c>
    </row>
    <row r="7" spans="1:11" x14ac:dyDescent="0.3">
      <c r="A7" s="10" t="s">
        <v>166</v>
      </c>
    </row>
    <row r="8" spans="1:11" x14ac:dyDescent="0.3">
      <c r="A8" s="39"/>
    </row>
    <row r="9" spans="1:11" x14ac:dyDescent="0.3">
      <c r="A9" s="39" t="s">
        <v>167</v>
      </c>
    </row>
    <row r="10" spans="1:11" x14ac:dyDescent="0.3">
      <c r="A10" s="39" t="s">
        <v>168</v>
      </c>
    </row>
    <row r="11" spans="1:11" x14ac:dyDescent="0.3">
      <c r="A11" s="39" t="s">
        <v>169</v>
      </c>
    </row>
    <row r="12" spans="1:11" x14ac:dyDescent="0.3">
      <c r="A12" s="39" t="s">
        <v>170</v>
      </c>
    </row>
    <row r="14" spans="1:11" x14ac:dyDescent="0.3">
      <c r="A14" s="10" t="s">
        <v>184</v>
      </c>
    </row>
    <row r="15" spans="1:11" x14ac:dyDescent="0.3">
      <c r="A15" s="39"/>
    </row>
    <row r="16" spans="1:11" x14ac:dyDescent="0.3">
      <c r="A16" s="39" t="s">
        <v>171</v>
      </c>
    </row>
    <row r="17" spans="1:2" x14ac:dyDescent="0.3">
      <c r="A17" s="39" t="s">
        <v>172</v>
      </c>
    </row>
    <row r="18" spans="1:2" x14ac:dyDescent="0.3">
      <c r="A18" s="39" t="s">
        <v>173</v>
      </c>
    </row>
    <row r="20" spans="1:2" x14ac:dyDescent="0.3">
      <c r="A20" s="10" t="s">
        <v>185</v>
      </c>
    </row>
    <row r="21" spans="1:2" x14ac:dyDescent="0.3">
      <c r="A21" s="39" t="s">
        <v>27</v>
      </c>
    </row>
    <row r="22" spans="1:2" x14ac:dyDescent="0.3">
      <c r="A22" s="39" t="s">
        <v>28</v>
      </c>
      <c r="B22" s="40"/>
    </row>
    <row r="23" spans="1:2" x14ac:dyDescent="0.3">
      <c r="A23" s="39" t="s">
        <v>38</v>
      </c>
      <c r="B23" s="41"/>
    </row>
    <row r="24" spans="1:2" x14ac:dyDescent="0.3">
      <c r="A24" s="39" t="s">
        <v>29</v>
      </c>
      <c r="B24" s="41"/>
    </row>
    <row r="25" spans="1:2" x14ac:dyDescent="0.3">
      <c r="A25" s="39" t="s">
        <v>181</v>
      </c>
      <c r="B25" s="41"/>
    </row>
    <row r="26" spans="1:2" x14ac:dyDescent="0.3">
      <c r="A26" s="39" t="s">
        <v>182</v>
      </c>
      <c r="B26" s="41"/>
    </row>
    <row r="27" spans="1:2" x14ac:dyDescent="0.3">
      <c r="A27" s="39" t="s">
        <v>183</v>
      </c>
      <c r="B27" s="41"/>
    </row>
    <row r="28" spans="1:2" x14ac:dyDescent="0.3">
      <c r="A28" s="41"/>
      <c r="B28" s="41"/>
    </row>
    <row r="29" spans="1:2" x14ac:dyDescent="0.3">
      <c r="A29" s="41"/>
      <c r="B29" s="41"/>
    </row>
    <row r="31" spans="1:2" x14ac:dyDescent="0.3">
      <c r="A31" s="10" t="s">
        <v>186</v>
      </c>
    </row>
    <row r="32" spans="1:2" x14ac:dyDescent="0.3">
      <c r="A32" s="39"/>
    </row>
    <row r="33" spans="1:1" x14ac:dyDescent="0.3">
      <c r="A33" s="42" t="s">
        <v>187</v>
      </c>
    </row>
    <row r="34" spans="1:1" x14ac:dyDescent="0.3">
      <c r="A34" s="39" t="s">
        <v>188</v>
      </c>
    </row>
    <row r="35" spans="1:1" x14ac:dyDescent="0.3">
      <c r="A35" s="39" t="s">
        <v>189</v>
      </c>
    </row>
    <row r="36" spans="1:1" x14ac:dyDescent="0.3">
      <c r="A36" s="39" t="s">
        <v>174</v>
      </c>
    </row>
    <row r="37" spans="1:1" x14ac:dyDescent="0.3">
      <c r="A37" s="39" t="s">
        <v>190</v>
      </c>
    </row>
    <row r="39" spans="1:1" x14ac:dyDescent="0.3">
      <c r="A39" s="10" t="s">
        <v>191</v>
      </c>
    </row>
    <row r="40" spans="1:1" x14ac:dyDescent="0.3">
      <c r="A40" s="39"/>
    </row>
    <row r="41" spans="1:1" x14ac:dyDescent="0.3">
      <c r="A41" s="42" t="s">
        <v>192</v>
      </c>
    </row>
    <row r="42" spans="1:1" x14ac:dyDescent="0.3">
      <c r="A42" s="42" t="s">
        <v>193</v>
      </c>
    </row>
    <row r="43" spans="1:1" x14ac:dyDescent="0.3">
      <c r="A43" s="42" t="s">
        <v>194</v>
      </c>
    </row>
    <row r="44" spans="1:1" x14ac:dyDescent="0.3">
      <c r="A44" s="42" t="s">
        <v>195</v>
      </c>
    </row>
    <row r="45" spans="1:1" x14ac:dyDescent="0.3">
      <c r="A45" s="42" t="s">
        <v>196</v>
      </c>
    </row>
    <row r="46" spans="1:1" x14ac:dyDescent="0.3">
      <c r="A46" s="42" t="s">
        <v>197</v>
      </c>
    </row>
    <row r="48" spans="1:1" x14ac:dyDescent="0.3">
      <c r="A48" s="10" t="s">
        <v>198</v>
      </c>
    </row>
    <row r="49" spans="1:1" x14ac:dyDescent="0.3">
      <c r="A49" s="39"/>
    </row>
    <row r="50" spans="1:1" x14ac:dyDescent="0.3">
      <c r="A50" s="39" t="s">
        <v>175</v>
      </c>
    </row>
    <row r="51" spans="1:1" x14ac:dyDescent="0.3">
      <c r="A51" s="39" t="s">
        <v>176</v>
      </c>
    </row>
    <row r="52" spans="1:1" x14ac:dyDescent="0.3">
      <c r="A52" s="39" t="s">
        <v>177</v>
      </c>
    </row>
    <row r="53" spans="1:1" x14ac:dyDescent="0.3">
      <c r="A53" s="39" t="s">
        <v>178</v>
      </c>
    </row>
    <row r="55" spans="1:1" x14ac:dyDescent="0.3">
      <c r="A55" s="10" t="s">
        <v>199</v>
      </c>
    </row>
    <row r="56" spans="1:1" x14ac:dyDescent="0.3">
      <c r="A56" s="39"/>
    </row>
    <row r="57" spans="1:1" x14ac:dyDescent="0.3">
      <c r="A57" s="39" t="s">
        <v>179</v>
      </c>
    </row>
    <row r="58" spans="1:1" x14ac:dyDescent="0.3">
      <c r="A58" s="39" t="s">
        <v>200</v>
      </c>
    </row>
    <row r="59" spans="1:1" x14ac:dyDescent="0.3">
      <c r="A59" s="39" t="s">
        <v>201</v>
      </c>
    </row>
    <row r="60" spans="1:1" x14ac:dyDescent="0.3">
      <c r="A60" s="39" t="s">
        <v>202</v>
      </c>
    </row>
    <row r="63" spans="1:1" x14ac:dyDescent="0.3">
      <c r="A63" s="39"/>
    </row>
    <row r="64" spans="1:1" x14ac:dyDescent="0.3">
      <c r="A64" s="39"/>
    </row>
    <row r="65" spans="1:2" x14ac:dyDescent="0.3">
      <c r="A65" s="39"/>
    </row>
    <row r="66" spans="1:2" x14ac:dyDescent="0.3">
      <c r="A66" s="39"/>
    </row>
    <row r="67" spans="1:2" x14ac:dyDescent="0.3">
      <c r="A67" s="39"/>
    </row>
    <row r="71" spans="1:2" x14ac:dyDescent="0.3">
      <c r="A71" s="40"/>
      <c r="B71" s="40"/>
    </row>
    <row r="72" spans="1:2" x14ac:dyDescent="0.3">
      <c r="A72" s="41"/>
      <c r="B72" s="41"/>
    </row>
    <row r="73" spans="1:2" x14ac:dyDescent="0.3">
      <c r="A73" s="41"/>
      <c r="B73" s="41"/>
    </row>
    <row r="74" spans="1:2" x14ac:dyDescent="0.3">
      <c r="A74" s="41"/>
      <c r="B74" s="41"/>
    </row>
    <row r="75" spans="1:2" x14ac:dyDescent="0.3">
      <c r="A75" s="41"/>
      <c r="B75" s="41"/>
    </row>
    <row r="76" spans="1:2" x14ac:dyDescent="0.3">
      <c r="A76" s="41"/>
      <c r="B76" s="41"/>
    </row>
    <row r="78" spans="1:2" x14ac:dyDescent="0.3">
      <c r="A78" s="10" t="s">
        <v>203</v>
      </c>
    </row>
    <row r="80" spans="1:2" x14ac:dyDescent="0.3">
      <c r="A80" s="10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selection activeCell="A9" sqref="A9:E15"/>
    </sheetView>
  </sheetViews>
  <sheetFormatPr defaultRowHeight="14.5" x14ac:dyDescent="0.35"/>
  <cols>
    <col min="8" max="10" width="0" hidden="1" customWidth="1"/>
  </cols>
  <sheetData>
    <row r="1" spans="1:6" ht="17.5" x14ac:dyDescent="0.35">
      <c r="F1" s="13" t="s">
        <v>27</v>
      </c>
    </row>
    <row r="3" spans="1:6" x14ac:dyDescent="0.35">
      <c r="A3" s="11" t="s">
        <v>30</v>
      </c>
    </row>
    <row r="4" spans="1:6" x14ac:dyDescent="0.35">
      <c r="A4" s="11" t="s">
        <v>31</v>
      </c>
    </row>
    <row r="7" spans="1:6" x14ac:dyDescent="0.35">
      <c r="A7" s="11" t="s">
        <v>32</v>
      </c>
    </row>
    <row r="9" spans="1:6" ht="58.5" customHeight="1" x14ac:dyDescent="0.35">
      <c r="A9" s="21" t="s">
        <v>0</v>
      </c>
      <c r="B9" s="21" t="s">
        <v>46</v>
      </c>
      <c r="C9" s="21" t="s">
        <v>47</v>
      </c>
      <c r="D9" s="21" t="s">
        <v>48</v>
      </c>
      <c r="E9" s="21" t="s">
        <v>49</v>
      </c>
    </row>
    <row r="10" spans="1:6" x14ac:dyDescent="0.35">
      <c r="A10" s="2">
        <v>2010</v>
      </c>
      <c r="B10" s="4">
        <v>70934</v>
      </c>
      <c r="C10" s="4">
        <v>160177</v>
      </c>
      <c r="D10" s="4">
        <v>254607</v>
      </c>
      <c r="E10" s="4">
        <v>4582439</v>
      </c>
    </row>
    <row r="11" spans="1:6" x14ac:dyDescent="0.35">
      <c r="A11" s="1">
        <v>2011</v>
      </c>
      <c r="B11" s="3">
        <v>70934</v>
      </c>
      <c r="C11" s="3">
        <v>163898</v>
      </c>
      <c r="D11" s="3">
        <v>411679</v>
      </c>
      <c r="E11" s="3">
        <v>4676838</v>
      </c>
    </row>
    <row r="12" spans="1:6" x14ac:dyDescent="0.35">
      <c r="A12" s="2">
        <v>2012</v>
      </c>
      <c r="B12" s="4">
        <v>76818</v>
      </c>
      <c r="C12" s="4">
        <v>164360</v>
      </c>
      <c r="D12" s="4">
        <v>464294</v>
      </c>
      <c r="E12" s="4">
        <v>4865394</v>
      </c>
    </row>
    <row r="13" spans="1:6" x14ac:dyDescent="0.35">
      <c r="A13" s="1">
        <v>2013</v>
      </c>
      <c r="B13" s="3">
        <v>79116</v>
      </c>
      <c r="C13" s="3">
        <v>169227</v>
      </c>
      <c r="D13" s="3">
        <v>446238</v>
      </c>
      <c r="E13" s="3">
        <v>5231922</v>
      </c>
    </row>
    <row r="14" spans="1:6" x14ac:dyDescent="0.35">
      <c r="A14" s="2">
        <v>2014</v>
      </c>
      <c r="B14" s="4">
        <v>91286.58</v>
      </c>
      <c r="C14" s="4">
        <v>170818.13500000001</v>
      </c>
      <c r="D14" s="4">
        <v>457466.91</v>
      </c>
      <c r="E14" s="4">
        <v>5402485.625</v>
      </c>
    </row>
    <row r="15" spans="1:6" x14ac:dyDescent="0.35">
      <c r="A15" s="1">
        <v>2015</v>
      </c>
      <c r="B15" s="3">
        <v>97991.12</v>
      </c>
      <c r="C15" s="3">
        <v>167109.13500000001</v>
      </c>
      <c r="D15" s="3">
        <v>467106</v>
      </c>
      <c r="E15" s="3">
        <v>5472144.2549999999</v>
      </c>
    </row>
    <row r="17" spans="1:1" x14ac:dyDescent="0.35">
      <c r="A17" t="s">
        <v>33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workbookViewId="0">
      <selection activeCell="A9" sqref="A9:E15"/>
    </sheetView>
  </sheetViews>
  <sheetFormatPr defaultRowHeight="14.5" x14ac:dyDescent="0.35"/>
  <cols>
    <col min="1" max="1" width="5.81640625" customWidth="1"/>
    <col min="2" max="2" width="9.7265625" customWidth="1"/>
    <col min="3" max="3" width="9.26953125" bestFit="1" customWidth="1"/>
    <col min="4" max="4" width="11" customWidth="1"/>
    <col min="5" max="5" width="10.54296875" customWidth="1"/>
    <col min="6" max="7" width="8.453125" customWidth="1"/>
    <col min="8" max="8" width="12.26953125" customWidth="1"/>
    <col min="9" max="9" width="11.81640625" customWidth="1"/>
  </cols>
  <sheetData>
    <row r="1" spans="1:8" ht="17.5" x14ac:dyDescent="0.35">
      <c r="H1" s="12" t="s">
        <v>28</v>
      </c>
    </row>
    <row r="3" spans="1:8" x14ac:dyDescent="0.35">
      <c r="A3" s="11" t="s">
        <v>34</v>
      </c>
    </row>
    <row r="4" spans="1:8" x14ac:dyDescent="0.35">
      <c r="A4" s="11" t="s">
        <v>35</v>
      </c>
    </row>
    <row r="5" spans="1:8" x14ac:dyDescent="0.35">
      <c r="A5" s="11" t="s">
        <v>36</v>
      </c>
    </row>
    <row r="7" spans="1:8" x14ac:dyDescent="0.35">
      <c r="A7" t="s">
        <v>32</v>
      </c>
    </row>
    <row r="9" spans="1:8" ht="31" x14ac:dyDescent="0.35">
      <c r="A9" s="21" t="s">
        <v>0</v>
      </c>
      <c r="B9" s="21" t="s">
        <v>46</v>
      </c>
      <c r="C9" s="21" t="s">
        <v>47</v>
      </c>
      <c r="D9" s="21" t="s">
        <v>48</v>
      </c>
      <c r="E9" s="21" t="s">
        <v>49</v>
      </c>
      <c r="H9" s="26"/>
    </row>
    <row r="10" spans="1:8" x14ac:dyDescent="0.35">
      <c r="A10" s="2">
        <v>2010</v>
      </c>
      <c r="B10" s="24">
        <v>70934</v>
      </c>
      <c r="C10" s="24">
        <v>160177</v>
      </c>
      <c r="D10" s="24">
        <v>402448</v>
      </c>
      <c r="E10" s="24">
        <v>4582439</v>
      </c>
      <c r="H10" s="28"/>
    </row>
    <row r="11" spans="1:8" x14ac:dyDescent="0.35">
      <c r="A11" s="1">
        <v>2011</v>
      </c>
      <c r="B11" s="25">
        <v>70934</v>
      </c>
      <c r="C11" s="25">
        <v>163898</v>
      </c>
      <c r="D11" s="25">
        <v>411679</v>
      </c>
      <c r="E11" s="25">
        <v>4676838</v>
      </c>
      <c r="H11" s="28"/>
    </row>
    <row r="12" spans="1:8" x14ac:dyDescent="0.35">
      <c r="A12" s="2">
        <v>2012</v>
      </c>
      <c r="B12" s="24">
        <v>76818</v>
      </c>
      <c r="C12" s="24">
        <v>164360</v>
      </c>
      <c r="D12" s="24">
        <v>464294</v>
      </c>
      <c r="E12" s="24">
        <v>4865394</v>
      </c>
      <c r="H12" s="28"/>
    </row>
    <row r="13" spans="1:8" x14ac:dyDescent="0.35">
      <c r="A13" s="1">
        <v>2013</v>
      </c>
      <c r="B13" s="25">
        <v>79116</v>
      </c>
      <c r="C13" s="25">
        <v>169227</v>
      </c>
      <c r="D13" s="25">
        <v>446238</v>
      </c>
      <c r="E13" s="25">
        <v>5231922</v>
      </c>
      <c r="H13" s="28"/>
    </row>
    <row r="14" spans="1:8" x14ac:dyDescent="0.35">
      <c r="A14" s="2">
        <v>2014</v>
      </c>
      <c r="B14" s="24">
        <v>91286.58</v>
      </c>
      <c r="C14" s="24">
        <v>170818.13500000001</v>
      </c>
      <c r="D14" s="24">
        <v>457466.91</v>
      </c>
      <c r="E14" s="24">
        <v>5402485.625</v>
      </c>
      <c r="H14" s="28"/>
    </row>
    <row r="15" spans="1:8" x14ac:dyDescent="0.35">
      <c r="A15" s="1">
        <v>2015</v>
      </c>
      <c r="B15" s="25">
        <v>97991.12</v>
      </c>
      <c r="C15" s="25">
        <v>167109.13500000001</v>
      </c>
      <c r="D15" s="25">
        <v>467106</v>
      </c>
      <c r="E15" s="25">
        <v>5472144.2549999999</v>
      </c>
      <c r="H15" s="28"/>
    </row>
    <row r="17" spans="1:1" x14ac:dyDescent="0.35">
      <c r="A17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showGridLines="0" workbookViewId="0">
      <selection activeCell="E9" sqref="E9:J24"/>
    </sheetView>
  </sheetViews>
  <sheetFormatPr defaultRowHeight="14.5" x14ac:dyDescent="0.35"/>
  <cols>
    <col min="6" max="6" width="18" customWidth="1"/>
    <col min="7" max="7" width="10.7265625" customWidth="1"/>
    <col min="10" max="10" width="10.54296875" customWidth="1"/>
  </cols>
  <sheetData>
    <row r="1" spans="1:10" ht="17.5" x14ac:dyDescent="0.35">
      <c r="F1" s="14" t="s">
        <v>38</v>
      </c>
    </row>
    <row r="3" spans="1:10" x14ac:dyDescent="0.35">
      <c r="A3" s="11" t="s">
        <v>39</v>
      </c>
    </row>
    <row r="4" spans="1:10" x14ac:dyDescent="0.35">
      <c r="A4" s="11" t="s">
        <v>40</v>
      </c>
    </row>
    <row r="7" spans="1:10" ht="17.5" x14ac:dyDescent="0.35">
      <c r="G7" s="17" t="s">
        <v>25</v>
      </c>
    </row>
    <row r="9" spans="1:10" ht="31" x14ac:dyDescent="0.35">
      <c r="E9" s="21" t="s">
        <v>4</v>
      </c>
      <c r="F9" s="21" t="s">
        <v>5</v>
      </c>
      <c r="G9" s="21" t="s">
        <v>53</v>
      </c>
      <c r="H9" s="21" t="s">
        <v>7</v>
      </c>
      <c r="I9" s="21" t="s">
        <v>8</v>
      </c>
      <c r="J9" s="21" t="s">
        <v>9</v>
      </c>
    </row>
    <row r="10" spans="1:10" x14ac:dyDescent="0.35">
      <c r="E10" s="2">
        <v>2000</v>
      </c>
      <c r="F10" s="2">
        <v>45.68</v>
      </c>
      <c r="G10" s="2">
        <v>67.55</v>
      </c>
      <c r="H10" s="2">
        <v>41.48</v>
      </c>
      <c r="I10" s="2">
        <v>0.41</v>
      </c>
      <c r="J10" s="2">
        <v>30.38</v>
      </c>
    </row>
    <row r="11" spans="1:10" x14ac:dyDescent="0.35">
      <c r="E11" s="1">
        <v>2001</v>
      </c>
      <c r="F11" s="1">
        <v>47.69</v>
      </c>
      <c r="G11" s="1">
        <v>68.319999999999993</v>
      </c>
      <c r="H11" s="1">
        <v>42.18</v>
      </c>
      <c r="I11" s="1">
        <v>0.38</v>
      </c>
      <c r="J11" s="1">
        <v>30.47</v>
      </c>
    </row>
    <row r="12" spans="1:10" x14ac:dyDescent="0.35">
      <c r="E12" s="2">
        <v>2002</v>
      </c>
      <c r="F12" s="2">
        <v>48.4</v>
      </c>
      <c r="G12" s="2">
        <v>74.819999999999993</v>
      </c>
      <c r="H12" s="2">
        <v>48.09</v>
      </c>
      <c r="I12" s="2">
        <v>0.4</v>
      </c>
      <c r="J12" s="2">
        <v>31.25</v>
      </c>
    </row>
    <row r="13" spans="1:10" x14ac:dyDescent="0.35">
      <c r="E13" s="1">
        <v>2003</v>
      </c>
      <c r="F13" s="1">
        <v>45.95</v>
      </c>
      <c r="G13" s="1">
        <v>77.739999999999995</v>
      </c>
      <c r="H13" s="1">
        <v>53.99</v>
      </c>
      <c r="I13" s="1">
        <v>0.41</v>
      </c>
      <c r="J13" s="1">
        <v>33.99</v>
      </c>
    </row>
    <row r="14" spans="1:10" x14ac:dyDescent="0.35">
      <c r="E14" s="2">
        <v>2004</v>
      </c>
      <c r="F14" s="2">
        <v>44.93</v>
      </c>
      <c r="G14" s="2">
        <v>82.86</v>
      </c>
      <c r="H14" s="2">
        <v>56.51</v>
      </c>
      <c r="I14" s="2">
        <v>0.42</v>
      </c>
      <c r="J14" s="2">
        <v>35.21</v>
      </c>
    </row>
    <row r="15" spans="1:10" x14ac:dyDescent="0.35">
      <c r="E15" s="1">
        <v>2005</v>
      </c>
      <c r="F15" s="1">
        <v>44.27</v>
      </c>
      <c r="G15" s="1">
        <v>79.05</v>
      </c>
      <c r="H15" s="1">
        <v>53.91</v>
      </c>
      <c r="I15" s="1">
        <v>0.39</v>
      </c>
      <c r="J15" s="1">
        <v>37.14</v>
      </c>
    </row>
    <row r="16" spans="1:10" x14ac:dyDescent="0.35">
      <c r="E16" s="2">
        <v>2006</v>
      </c>
      <c r="F16" s="2">
        <v>45.29</v>
      </c>
      <c r="G16" s="2">
        <v>85.73</v>
      </c>
      <c r="H16" s="2">
        <v>58.11</v>
      </c>
      <c r="I16" s="2">
        <v>0.39</v>
      </c>
      <c r="J16" s="2">
        <v>39.770000000000003</v>
      </c>
    </row>
    <row r="17" spans="1:10" x14ac:dyDescent="0.35">
      <c r="E17" s="1">
        <v>2007</v>
      </c>
      <c r="F17" s="1">
        <v>40.26</v>
      </c>
      <c r="G17" s="1">
        <v>80.84</v>
      </c>
      <c r="H17" s="1">
        <v>56.99</v>
      </c>
      <c r="I17" s="1">
        <v>0.35</v>
      </c>
      <c r="J17" s="1">
        <v>39.04</v>
      </c>
    </row>
    <row r="18" spans="1:10" x14ac:dyDescent="0.35">
      <c r="E18" s="2">
        <v>2008</v>
      </c>
      <c r="F18" s="2">
        <v>45.99</v>
      </c>
      <c r="G18" s="2">
        <v>78.319999999999993</v>
      </c>
      <c r="H18" s="2">
        <v>65.14</v>
      </c>
      <c r="I18" s="2">
        <v>0.46</v>
      </c>
      <c r="J18" s="2">
        <v>40.880000000000003</v>
      </c>
    </row>
    <row r="19" spans="1:10" x14ac:dyDescent="0.35">
      <c r="E19" s="1">
        <v>2009</v>
      </c>
      <c r="F19" s="1">
        <v>47.42</v>
      </c>
      <c r="G19" s="1">
        <v>75.89</v>
      </c>
      <c r="H19" s="1">
        <v>67.08</v>
      </c>
      <c r="I19" s="1">
        <v>0.51</v>
      </c>
      <c r="J19" s="1">
        <v>43.49</v>
      </c>
    </row>
    <row r="20" spans="1:10" x14ac:dyDescent="0.35">
      <c r="E20" s="2">
        <v>2010</v>
      </c>
      <c r="F20" s="2">
        <v>45.58</v>
      </c>
      <c r="G20" s="2">
        <v>70.89</v>
      </c>
      <c r="H20" s="2">
        <v>60.22</v>
      </c>
      <c r="I20" s="2">
        <v>0.53</v>
      </c>
      <c r="J20" s="2">
        <v>44.84</v>
      </c>
    </row>
    <row r="21" spans="1:10" x14ac:dyDescent="0.35">
      <c r="E21" s="1">
        <v>2011</v>
      </c>
      <c r="F21" s="1">
        <v>47.92</v>
      </c>
      <c r="G21" s="1">
        <v>76.38</v>
      </c>
      <c r="H21" s="1">
        <v>65.89</v>
      </c>
      <c r="I21" s="1">
        <v>0.61</v>
      </c>
      <c r="J21" s="1">
        <v>48.31</v>
      </c>
    </row>
    <row r="22" spans="1:10" x14ac:dyDescent="0.35">
      <c r="E22" s="2">
        <v>2012</v>
      </c>
      <c r="F22" s="2">
        <v>54.41</v>
      </c>
      <c r="G22" s="2">
        <v>85.98</v>
      </c>
      <c r="H22" s="2">
        <v>70.069999999999993</v>
      </c>
      <c r="I22" s="2">
        <v>0.66</v>
      </c>
      <c r="J22" s="2">
        <v>54.35</v>
      </c>
    </row>
    <row r="23" spans="1:10" x14ac:dyDescent="0.35">
      <c r="E23" s="1">
        <v>2013</v>
      </c>
      <c r="F23" s="1">
        <v>60.5</v>
      </c>
      <c r="G23" s="1">
        <v>96.3</v>
      </c>
      <c r="H23" s="1">
        <v>81.17</v>
      </c>
      <c r="I23" s="1">
        <v>0.6</v>
      </c>
      <c r="J23" s="1">
        <v>57.35</v>
      </c>
    </row>
    <row r="24" spans="1:10" x14ac:dyDescent="0.35">
      <c r="E24" s="2">
        <v>2014</v>
      </c>
      <c r="F24" s="2">
        <v>61.14</v>
      </c>
      <c r="G24" s="2">
        <v>98.57</v>
      </c>
      <c r="H24" s="2">
        <v>77.52</v>
      </c>
      <c r="I24" s="2">
        <v>0.56000000000000005</v>
      </c>
      <c r="J24" s="2">
        <v>53.78</v>
      </c>
    </row>
    <row r="26" spans="1:10" x14ac:dyDescent="0.35">
      <c r="A26" s="18" t="s">
        <v>50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showGridLines="0" topLeftCell="A5" workbookViewId="0">
      <selection activeCell="Q22" sqref="Q22"/>
    </sheetView>
  </sheetViews>
  <sheetFormatPr defaultRowHeight="14.5" x14ac:dyDescent="0.35"/>
  <sheetData>
    <row r="1" spans="1:7" ht="17.5" x14ac:dyDescent="0.35">
      <c r="G1" s="13" t="s">
        <v>29</v>
      </c>
    </row>
    <row r="3" spans="1:7" x14ac:dyDescent="0.35">
      <c r="A3" s="11" t="s">
        <v>51</v>
      </c>
    </row>
    <row r="4" spans="1:7" x14ac:dyDescent="0.35">
      <c r="A4" s="11" t="s">
        <v>52</v>
      </c>
    </row>
    <row r="7" spans="1:7" ht="15" customHeight="1" x14ac:dyDescent="0.35">
      <c r="A7" s="15"/>
      <c r="B7" s="23" t="s">
        <v>44</v>
      </c>
      <c r="C7" s="22"/>
      <c r="D7" s="22"/>
    </row>
    <row r="8" spans="1:7" x14ac:dyDescent="0.35">
      <c r="B8" s="19" t="s">
        <v>41</v>
      </c>
      <c r="C8" s="19">
        <v>363</v>
      </c>
      <c r="D8" s="16"/>
    </row>
    <row r="9" spans="1:7" x14ac:dyDescent="0.35">
      <c r="B9" s="19" t="s">
        <v>42</v>
      </c>
      <c r="C9" s="19">
        <v>60</v>
      </c>
      <c r="D9" s="16"/>
    </row>
    <row r="10" spans="1:7" x14ac:dyDescent="0.35">
      <c r="B10" s="19" t="s">
        <v>43</v>
      </c>
      <c r="C10" s="19">
        <f>543-(C8+C9)</f>
        <v>120</v>
      </c>
      <c r="D10" s="16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showGridLines="0" topLeftCell="A4" workbookViewId="0">
      <selection activeCell="I2" sqref="I2"/>
    </sheetView>
  </sheetViews>
  <sheetFormatPr defaultRowHeight="14.5" x14ac:dyDescent="0.35"/>
  <cols>
    <col min="2" max="2" width="15" customWidth="1"/>
    <col min="3" max="3" width="13.7265625" customWidth="1"/>
    <col min="4" max="4" width="11.7265625" customWidth="1"/>
    <col min="5" max="5" width="11.26953125" customWidth="1"/>
    <col min="6" max="6" width="11" customWidth="1"/>
    <col min="7" max="7" width="12" customWidth="1"/>
    <col min="8" max="8" width="11.81640625" customWidth="1"/>
    <col min="9" max="9" width="10.1796875" customWidth="1"/>
  </cols>
  <sheetData>
    <row r="1" spans="1:10" ht="28.5" customHeight="1" x14ac:dyDescent="0.65">
      <c r="F1" s="6"/>
      <c r="G1" s="5"/>
    </row>
    <row r="2" spans="1:10" ht="28.5" customHeight="1" x14ac:dyDescent="0.65">
      <c r="A2" s="18" t="s">
        <v>54</v>
      </c>
      <c r="B2" s="18"/>
      <c r="C2" s="18"/>
      <c r="D2" s="18"/>
      <c r="E2" s="18"/>
      <c r="F2" s="6"/>
      <c r="G2" s="5"/>
    </row>
    <row r="4" spans="1:10" ht="62" x14ac:dyDescent="0.35">
      <c r="B4" s="21" t="s">
        <v>0</v>
      </c>
      <c r="C4" s="21" t="s">
        <v>1</v>
      </c>
      <c r="D4" s="21" t="s">
        <v>2</v>
      </c>
      <c r="E4" s="21" t="s">
        <v>3</v>
      </c>
      <c r="F4" s="26"/>
      <c r="G4" s="29"/>
      <c r="H4" s="26"/>
      <c r="I4" s="26"/>
      <c r="J4" s="26"/>
    </row>
    <row r="5" spans="1:10" x14ac:dyDescent="0.35">
      <c r="B5" s="1">
        <v>2005</v>
      </c>
      <c r="C5" s="3">
        <v>65569</v>
      </c>
      <c r="D5" s="3">
        <v>144396</v>
      </c>
      <c r="E5" s="3">
        <v>286707</v>
      </c>
      <c r="F5" s="27"/>
      <c r="G5" s="29"/>
      <c r="H5" s="27"/>
      <c r="I5" s="27"/>
      <c r="J5" s="27"/>
    </row>
    <row r="6" spans="1:10" x14ac:dyDescent="0.35">
      <c r="B6" s="2">
        <v>2006</v>
      </c>
      <c r="C6" s="4">
        <v>66590</v>
      </c>
      <c r="D6" s="4">
        <v>148090</v>
      </c>
      <c r="E6" s="4">
        <v>291991</v>
      </c>
      <c r="F6" s="27"/>
      <c r="G6" s="29"/>
      <c r="H6" s="27"/>
      <c r="I6" s="27"/>
      <c r="J6" s="27"/>
    </row>
    <row r="7" spans="1:10" x14ac:dyDescent="0.35">
      <c r="B7" s="1">
        <v>2007</v>
      </c>
      <c r="C7" s="3">
        <v>66590</v>
      </c>
      <c r="D7" s="3">
        <v>152235</v>
      </c>
      <c r="E7" s="3">
        <v>300580</v>
      </c>
      <c r="F7" s="27"/>
      <c r="G7" s="29"/>
      <c r="H7" s="27"/>
      <c r="I7" s="27"/>
      <c r="J7" s="27"/>
    </row>
    <row r="8" spans="1:10" x14ac:dyDescent="0.35">
      <c r="B8" s="2">
        <v>2008</v>
      </c>
      <c r="C8" s="4">
        <v>66754</v>
      </c>
      <c r="D8" s="4">
        <v>154522</v>
      </c>
      <c r="E8" s="4">
        <v>304327</v>
      </c>
      <c r="F8" s="27"/>
      <c r="G8" s="29"/>
      <c r="H8" s="27"/>
      <c r="I8" s="27"/>
      <c r="J8" s="27"/>
    </row>
    <row r="9" spans="1:10" x14ac:dyDescent="0.35">
      <c r="B9" s="1">
        <v>2009</v>
      </c>
      <c r="C9" s="3">
        <v>70548.429999999993</v>
      </c>
      <c r="D9" s="3">
        <v>158497.37899999999</v>
      </c>
      <c r="E9" s="3">
        <v>373801.97600000002</v>
      </c>
      <c r="F9" s="27"/>
      <c r="G9" s="29"/>
      <c r="H9" s="27"/>
      <c r="I9" s="27"/>
      <c r="J9" s="27"/>
    </row>
    <row r="10" spans="1:10" x14ac:dyDescent="0.35">
      <c r="B10" s="2">
        <v>2010</v>
      </c>
      <c r="C10" s="4">
        <v>70934</v>
      </c>
      <c r="D10" s="4">
        <v>160177</v>
      </c>
      <c r="E10" s="4">
        <v>402448</v>
      </c>
      <c r="F10" s="27"/>
      <c r="G10" s="29"/>
      <c r="H10" s="27"/>
      <c r="I10" s="27"/>
      <c r="J10" s="27"/>
    </row>
    <row r="11" spans="1:10" x14ac:dyDescent="0.35">
      <c r="B11" s="1">
        <v>2011</v>
      </c>
      <c r="C11" s="3">
        <v>70934</v>
      </c>
      <c r="D11" s="3">
        <v>163898</v>
      </c>
      <c r="E11" s="3">
        <v>411679</v>
      </c>
      <c r="F11" s="27"/>
      <c r="G11" s="29"/>
      <c r="H11" s="27"/>
      <c r="I11" s="27"/>
      <c r="J11" s="27"/>
    </row>
    <row r="12" spans="1:10" x14ac:dyDescent="0.35">
      <c r="B12" s="2">
        <v>2012</v>
      </c>
      <c r="C12" s="4">
        <v>76818</v>
      </c>
      <c r="D12" s="4">
        <v>164360</v>
      </c>
      <c r="E12" s="4">
        <v>464294</v>
      </c>
      <c r="F12" s="27"/>
      <c r="G12" s="29"/>
      <c r="H12" s="27"/>
      <c r="I12" s="27"/>
      <c r="J12" s="27"/>
    </row>
    <row r="13" spans="1:10" x14ac:dyDescent="0.35">
      <c r="B13" s="1">
        <v>2013</v>
      </c>
      <c r="C13" s="3">
        <v>79116</v>
      </c>
      <c r="D13" s="3">
        <v>169227</v>
      </c>
      <c r="E13" s="3">
        <v>446238</v>
      </c>
      <c r="F13" s="27"/>
      <c r="G13" s="29"/>
      <c r="H13" s="27"/>
      <c r="I13" s="27"/>
      <c r="J13" s="27"/>
    </row>
    <row r="14" spans="1:10" x14ac:dyDescent="0.35">
      <c r="B14" s="2">
        <v>2014</v>
      </c>
      <c r="C14" s="4">
        <v>91286.58</v>
      </c>
      <c r="D14" s="4">
        <v>170818.13500000001</v>
      </c>
      <c r="E14" s="4">
        <v>457466.91</v>
      </c>
      <c r="F14" s="27"/>
      <c r="G14" s="29"/>
      <c r="H14" s="27"/>
      <c r="I14" s="27"/>
      <c r="J14" s="27"/>
    </row>
    <row r="15" spans="1:10" x14ac:dyDescent="0.35">
      <c r="B15" s="1">
        <v>2015</v>
      </c>
      <c r="C15" s="3">
        <v>97991.12</v>
      </c>
      <c r="D15" s="3">
        <v>167109.13500000001</v>
      </c>
      <c r="E15" s="3">
        <v>467106</v>
      </c>
      <c r="F15" s="27"/>
      <c r="G15" s="29"/>
      <c r="H15" s="27"/>
      <c r="I15" s="27"/>
      <c r="J15" s="27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showGridLines="0" workbookViewId="0">
      <selection activeCell="N7" sqref="N7"/>
    </sheetView>
  </sheetViews>
  <sheetFormatPr defaultRowHeight="14.5" x14ac:dyDescent="0.35"/>
  <cols>
    <col min="1" max="1" width="11.1796875" customWidth="1"/>
    <col min="5" max="5" width="12.54296875" customWidth="1"/>
    <col min="6" max="6" width="10.81640625" customWidth="1"/>
    <col min="7" max="7" width="11.7265625" customWidth="1"/>
    <col min="8" max="8" width="10.7265625" customWidth="1"/>
    <col min="9" max="9" width="9.54296875" customWidth="1"/>
    <col min="10" max="10" width="18.453125" customWidth="1"/>
  </cols>
  <sheetData>
    <row r="1" spans="1:8" ht="24" customHeight="1" x14ac:dyDescent="0.65">
      <c r="H1" s="7" t="s">
        <v>25</v>
      </c>
    </row>
    <row r="2" spans="1:8" ht="30" customHeight="1" x14ac:dyDescent="0.35"/>
    <row r="3" spans="1:8" x14ac:dyDescent="0.35">
      <c r="A3" s="18" t="s">
        <v>55</v>
      </c>
    </row>
    <row r="5" spans="1:8" ht="15.5" x14ac:dyDescent="0.3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</row>
    <row r="6" spans="1:8" x14ac:dyDescent="0.35">
      <c r="A6" s="8" t="s">
        <v>10</v>
      </c>
      <c r="B6" s="8">
        <v>45.68</v>
      </c>
      <c r="C6" s="8">
        <v>67.55</v>
      </c>
      <c r="D6" s="8">
        <v>41.48</v>
      </c>
      <c r="E6" s="8">
        <v>0.41</v>
      </c>
      <c r="F6" s="8">
        <v>30.38</v>
      </c>
    </row>
    <row r="7" spans="1:8" x14ac:dyDescent="0.35">
      <c r="A7" s="9" t="s">
        <v>11</v>
      </c>
      <c r="B7" s="9">
        <v>47.69</v>
      </c>
      <c r="C7" s="9">
        <v>68.319999999999993</v>
      </c>
      <c r="D7" s="9">
        <v>42.18</v>
      </c>
      <c r="E7" s="9">
        <v>0.38</v>
      </c>
      <c r="F7" s="9">
        <v>30.47</v>
      </c>
    </row>
    <row r="8" spans="1:8" x14ac:dyDescent="0.35">
      <c r="A8" s="8" t="s">
        <v>12</v>
      </c>
      <c r="B8" s="8">
        <v>48.4</v>
      </c>
      <c r="C8" s="8">
        <v>74.819999999999993</v>
      </c>
      <c r="D8" s="8">
        <v>48.09</v>
      </c>
      <c r="E8" s="8">
        <v>0.4</v>
      </c>
      <c r="F8" s="8">
        <v>31.25</v>
      </c>
    </row>
    <row r="9" spans="1:8" x14ac:dyDescent="0.35">
      <c r="A9" s="9" t="s">
        <v>13</v>
      </c>
      <c r="B9" s="9">
        <v>45.95</v>
      </c>
      <c r="C9" s="9">
        <v>77.739999999999995</v>
      </c>
      <c r="D9" s="9">
        <v>53.99</v>
      </c>
      <c r="E9" s="9">
        <v>0.41</v>
      </c>
      <c r="F9" s="9">
        <v>33.99</v>
      </c>
    </row>
    <row r="10" spans="1:8" x14ac:dyDescent="0.35">
      <c r="A10" s="8" t="s">
        <v>14</v>
      </c>
      <c r="B10" s="8">
        <v>44.93</v>
      </c>
      <c r="C10" s="8">
        <v>82.86</v>
      </c>
      <c r="D10" s="8">
        <v>56.51</v>
      </c>
      <c r="E10" s="8">
        <v>0.42</v>
      </c>
      <c r="F10" s="8">
        <v>35.21</v>
      </c>
    </row>
    <row r="11" spans="1:8" x14ac:dyDescent="0.35">
      <c r="A11" s="9" t="s">
        <v>15</v>
      </c>
      <c r="B11" s="9">
        <v>44.27</v>
      </c>
      <c r="C11" s="9">
        <v>79.05</v>
      </c>
      <c r="D11" s="9">
        <v>53.91</v>
      </c>
      <c r="E11" s="9">
        <v>0.39</v>
      </c>
      <c r="F11" s="9">
        <v>37.14</v>
      </c>
    </row>
    <row r="12" spans="1:8" x14ac:dyDescent="0.35">
      <c r="A12" s="8" t="s">
        <v>16</v>
      </c>
      <c r="B12" s="8">
        <v>45.29</v>
      </c>
      <c r="C12" s="8">
        <v>85.73</v>
      </c>
      <c r="D12" s="8">
        <v>58.11</v>
      </c>
      <c r="E12" s="8">
        <v>0.39</v>
      </c>
      <c r="F12" s="8">
        <v>39.770000000000003</v>
      </c>
    </row>
    <row r="13" spans="1:8" x14ac:dyDescent="0.35">
      <c r="A13" s="9" t="s">
        <v>17</v>
      </c>
      <c r="B13" s="9">
        <v>40.26</v>
      </c>
      <c r="C13" s="9">
        <v>80.84</v>
      </c>
      <c r="D13" s="9">
        <v>56.99</v>
      </c>
      <c r="E13" s="9">
        <v>0.35</v>
      </c>
      <c r="F13" s="9">
        <v>39.04</v>
      </c>
    </row>
    <row r="14" spans="1:8" x14ac:dyDescent="0.35">
      <c r="A14" s="8" t="s">
        <v>18</v>
      </c>
      <c r="B14" s="8">
        <v>45.99</v>
      </c>
      <c r="C14" s="8">
        <v>78.319999999999993</v>
      </c>
      <c r="D14" s="8">
        <v>65.14</v>
      </c>
      <c r="E14" s="8">
        <v>0.46</v>
      </c>
      <c r="F14" s="8">
        <v>40.880000000000003</v>
      </c>
    </row>
    <row r="15" spans="1:8" x14ac:dyDescent="0.35">
      <c r="A15" s="9" t="s">
        <v>19</v>
      </c>
      <c r="B15" s="9">
        <v>47.42</v>
      </c>
      <c r="C15" s="9">
        <v>75.89</v>
      </c>
      <c r="D15" s="9">
        <v>67.08</v>
      </c>
      <c r="E15" s="9">
        <v>0.51</v>
      </c>
      <c r="F15" s="9">
        <v>43.49</v>
      </c>
    </row>
    <row r="16" spans="1:8" x14ac:dyDescent="0.35">
      <c r="A16" s="8" t="s">
        <v>20</v>
      </c>
      <c r="B16" s="8">
        <v>45.58</v>
      </c>
      <c r="C16" s="8">
        <v>70.89</v>
      </c>
      <c r="D16" s="8">
        <v>60.22</v>
      </c>
      <c r="E16" s="8">
        <v>0.53</v>
      </c>
      <c r="F16" s="8">
        <v>44.84</v>
      </c>
    </row>
    <row r="17" spans="1:6" x14ac:dyDescent="0.35">
      <c r="A17" s="9" t="s">
        <v>21</v>
      </c>
      <c r="B17" s="9">
        <v>47.92</v>
      </c>
      <c r="C17" s="9">
        <v>76.38</v>
      </c>
      <c r="D17" s="9">
        <v>65.89</v>
      </c>
      <c r="E17" s="9">
        <v>0.61</v>
      </c>
      <c r="F17" s="9">
        <v>48.31</v>
      </c>
    </row>
    <row r="18" spans="1:6" x14ac:dyDescent="0.35">
      <c r="A18" s="8" t="s">
        <v>22</v>
      </c>
      <c r="B18" s="8">
        <v>54.41</v>
      </c>
      <c r="C18" s="8">
        <v>85.98</v>
      </c>
      <c r="D18" s="8">
        <v>70.069999999999993</v>
      </c>
      <c r="E18" s="8">
        <v>0.66</v>
      </c>
      <c r="F18" s="8">
        <v>54.35</v>
      </c>
    </row>
    <row r="19" spans="1:6" x14ac:dyDescent="0.35">
      <c r="A19" s="9" t="s">
        <v>23</v>
      </c>
      <c r="B19" s="9">
        <v>60.5</v>
      </c>
      <c r="C19" s="9">
        <v>96.3</v>
      </c>
      <c r="D19" s="9">
        <v>81.17</v>
      </c>
      <c r="E19" s="9">
        <v>0.6</v>
      </c>
      <c r="F19" s="9">
        <v>57.35</v>
      </c>
    </row>
    <row r="20" spans="1:6" x14ac:dyDescent="0.35">
      <c r="A20" s="8" t="s">
        <v>24</v>
      </c>
      <c r="B20" s="8">
        <v>61.14</v>
      </c>
      <c r="C20" s="8">
        <v>98.57</v>
      </c>
      <c r="D20" s="8">
        <v>77.52</v>
      </c>
      <c r="E20" s="8">
        <v>0.56000000000000005</v>
      </c>
      <c r="F20" s="8">
        <v>53.78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16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</cols>
  <sheetData>
    <row r="3" spans="1:1" x14ac:dyDescent="0.35">
      <c r="A3" s="48" t="s">
        <v>234</v>
      </c>
    </row>
    <row r="4" spans="1:1" x14ac:dyDescent="0.35">
      <c r="A4" s="49" t="s">
        <v>207</v>
      </c>
    </row>
    <row r="5" spans="1:1" x14ac:dyDescent="0.35">
      <c r="A5" s="49" t="s">
        <v>211</v>
      </c>
    </row>
    <row r="6" spans="1:1" x14ac:dyDescent="0.35">
      <c r="A6" s="49" t="s">
        <v>215</v>
      </c>
    </row>
    <row r="7" spans="1:1" x14ac:dyDescent="0.35">
      <c r="A7" s="49" t="s">
        <v>205</v>
      </c>
    </row>
    <row r="8" spans="1:1" x14ac:dyDescent="0.35">
      <c r="A8" s="49" t="s">
        <v>204</v>
      </c>
    </row>
    <row r="9" spans="1:1" x14ac:dyDescent="0.35">
      <c r="A9" s="49" t="s">
        <v>210</v>
      </c>
    </row>
    <row r="10" spans="1:1" x14ac:dyDescent="0.35">
      <c r="A10" s="49" t="s">
        <v>209</v>
      </c>
    </row>
    <row r="11" spans="1:1" x14ac:dyDescent="0.35">
      <c r="A11" s="49" t="s">
        <v>206</v>
      </c>
    </row>
    <row r="12" spans="1:1" x14ac:dyDescent="0.35">
      <c r="A12" s="49" t="s">
        <v>208</v>
      </c>
    </row>
    <row r="13" spans="1:1" x14ac:dyDescent="0.35">
      <c r="A13" s="49" t="s">
        <v>214</v>
      </c>
    </row>
    <row r="14" spans="1:1" x14ac:dyDescent="0.35">
      <c r="A14" s="49" t="s">
        <v>213</v>
      </c>
    </row>
    <row r="15" spans="1:1" x14ac:dyDescent="0.35">
      <c r="A15" s="49" t="s">
        <v>212</v>
      </c>
    </row>
    <row r="16" spans="1:1" x14ac:dyDescent="0.35">
      <c r="A16" s="49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1"/>
  <sheetViews>
    <sheetView tabSelected="1" topLeftCell="A40" workbookViewId="0">
      <selection activeCell="P46" sqref="P46"/>
    </sheetView>
  </sheetViews>
  <sheetFormatPr defaultRowHeight="14.5" x14ac:dyDescent="0.35"/>
  <cols>
    <col min="1" max="1" width="25.26953125" customWidth="1"/>
  </cols>
  <sheetData>
    <row r="1" spans="1:3" ht="15.5" x14ac:dyDescent="0.35">
      <c r="A1" s="10" t="s">
        <v>239</v>
      </c>
      <c r="B1" t="s">
        <v>240</v>
      </c>
      <c r="C1" t="s">
        <v>253</v>
      </c>
    </row>
    <row r="2" spans="1:3" ht="15.5" x14ac:dyDescent="0.35">
      <c r="A2" s="10" t="s">
        <v>241</v>
      </c>
      <c r="B2">
        <v>25000</v>
      </c>
      <c r="C2">
        <f>SUM($B$2:B2)</f>
        <v>25000</v>
      </c>
    </row>
    <row r="3" spans="1:3" ht="15.5" x14ac:dyDescent="0.35">
      <c r="A3" s="10" t="s">
        <v>242</v>
      </c>
      <c r="B3">
        <v>30000</v>
      </c>
      <c r="C3">
        <f>SUM($B$2:B3)</f>
        <v>55000</v>
      </c>
    </row>
    <row r="4" spans="1:3" ht="15.5" x14ac:dyDescent="0.35">
      <c r="A4" s="10" t="s">
        <v>243</v>
      </c>
      <c r="B4">
        <v>28000</v>
      </c>
      <c r="C4">
        <f>SUM($B$2:B4)</f>
        <v>83000</v>
      </c>
    </row>
    <row r="5" spans="1:3" ht="15.5" x14ac:dyDescent="0.35">
      <c r="A5" s="10" t="s">
        <v>244</v>
      </c>
      <c r="B5">
        <v>35000</v>
      </c>
      <c r="C5">
        <f>SUM($B$2:B5)</f>
        <v>118000</v>
      </c>
    </row>
    <row r="6" spans="1:3" ht="15.5" x14ac:dyDescent="0.35">
      <c r="A6" s="10" t="s">
        <v>245</v>
      </c>
      <c r="B6">
        <v>40000</v>
      </c>
      <c r="C6">
        <f>SUM($B$2:B6)</f>
        <v>158000</v>
      </c>
    </row>
    <row r="7" spans="1:3" ht="15.5" x14ac:dyDescent="0.35">
      <c r="A7" s="10" t="s">
        <v>246</v>
      </c>
      <c r="B7">
        <v>37000</v>
      </c>
      <c r="C7">
        <f>SUM($B$2:B7)</f>
        <v>195000</v>
      </c>
    </row>
    <row r="8" spans="1:3" ht="15.5" x14ac:dyDescent="0.35">
      <c r="A8" s="10" t="s">
        <v>247</v>
      </c>
      <c r="B8">
        <v>42000</v>
      </c>
      <c r="C8">
        <f>SUM($B$2:B8)</f>
        <v>237000</v>
      </c>
    </row>
    <row r="9" spans="1:3" ht="15.5" x14ac:dyDescent="0.35">
      <c r="A9" s="10" t="s">
        <v>248</v>
      </c>
      <c r="B9">
        <v>39000</v>
      </c>
      <c r="C9">
        <f>SUM($B$2:B9)</f>
        <v>276000</v>
      </c>
    </row>
    <row r="10" spans="1:3" ht="15.5" x14ac:dyDescent="0.35">
      <c r="A10" s="10" t="s">
        <v>249</v>
      </c>
      <c r="B10">
        <v>45000</v>
      </c>
      <c r="C10">
        <f>SUM($B$2:B10)</f>
        <v>321000</v>
      </c>
    </row>
    <row r="11" spans="1:3" ht="15.5" x14ac:dyDescent="0.35">
      <c r="A11" s="10" t="s">
        <v>250</v>
      </c>
      <c r="B11">
        <v>47000</v>
      </c>
      <c r="C11">
        <f>SUM($B$2:B11)</f>
        <v>368000</v>
      </c>
    </row>
    <row r="12" spans="1:3" ht="15.5" x14ac:dyDescent="0.35">
      <c r="A12" s="10" t="s">
        <v>251</v>
      </c>
      <c r="B12">
        <v>43000</v>
      </c>
      <c r="C12">
        <f>SUM($B$2:B12)</f>
        <v>411000</v>
      </c>
    </row>
    <row r="13" spans="1:3" ht="15.5" x14ac:dyDescent="0.35">
      <c r="A13" s="10" t="s">
        <v>252</v>
      </c>
      <c r="B13">
        <v>48000</v>
      </c>
      <c r="C13">
        <f>SUM($B$2:B13)</f>
        <v>459000</v>
      </c>
    </row>
    <row r="16" spans="1:3" ht="17.5" x14ac:dyDescent="0.35">
      <c r="A16" s="14" t="s">
        <v>216</v>
      </c>
    </row>
    <row r="17" spans="1:2" ht="17.5" x14ac:dyDescent="0.35">
      <c r="A17" s="12"/>
    </row>
    <row r="18" spans="1:2" ht="17.5" x14ac:dyDescent="0.35">
      <c r="A18" s="14" t="s">
        <v>230</v>
      </c>
      <c r="B18" s="18"/>
    </row>
    <row r="19" spans="1:2" ht="17.5" x14ac:dyDescent="0.35">
      <c r="A19" s="43"/>
    </row>
    <row r="20" spans="1:2" ht="17.5" x14ac:dyDescent="0.35">
      <c r="A20" s="43" t="s">
        <v>217</v>
      </c>
    </row>
    <row r="21" spans="1:2" ht="17.5" x14ac:dyDescent="0.35">
      <c r="A21" s="43" t="s">
        <v>218</v>
      </c>
    </row>
    <row r="22" spans="1:2" ht="17.5" x14ac:dyDescent="0.35">
      <c r="A22" s="43" t="s">
        <v>219</v>
      </c>
    </row>
    <row r="23" spans="1:2" ht="17.5" x14ac:dyDescent="0.35">
      <c r="A23" s="12"/>
    </row>
    <row r="24" spans="1:2" ht="17.5" x14ac:dyDescent="0.35">
      <c r="A24" s="14" t="s">
        <v>231</v>
      </c>
    </row>
    <row r="25" spans="1:2" ht="17.5" x14ac:dyDescent="0.35">
      <c r="A25" s="43"/>
    </row>
    <row r="26" spans="1:2" ht="17.5" x14ac:dyDescent="0.35">
      <c r="A26" s="43" t="s">
        <v>220</v>
      </c>
    </row>
    <row r="27" spans="1:2" ht="17.5" x14ac:dyDescent="0.35">
      <c r="A27" s="43" t="s">
        <v>221</v>
      </c>
    </row>
    <row r="28" spans="1:2" ht="17.5" x14ac:dyDescent="0.35">
      <c r="A28" s="43" t="s">
        <v>222</v>
      </c>
    </row>
    <row r="29" spans="1:2" ht="17.5" x14ac:dyDescent="0.35">
      <c r="A29" s="43"/>
    </row>
    <row r="30" spans="1:2" ht="17.5" x14ac:dyDescent="0.35">
      <c r="A30" s="46" t="s">
        <v>232</v>
      </c>
    </row>
    <row r="31" spans="1:2" ht="17.5" x14ac:dyDescent="0.35">
      <c r="A31" s="44"/>
    </row>
    <row r="32" spans="1:2" ht="17.5" x14ac:dyDescent="0.35">
      <c r="A32" s="44" t="s">
        <v>223</v>
      </c>
    </row>
    <row r="33" spans="1:1" ht="17.5" x14ac:dyDescent="0.35">
      <c r="A33" s="44" t="s">
        <v>224</v>
      </c>
    </row>
    <row r="34" spans="1:1" ht="17.5" x14ac:dyDescent="0.35">
      <c r="A34" s="44" t="s">
        <v>225</v>
      </c>
    </row>
    <row r="35" spans="1:1" ht="17.5" x14ac:dyDescent="0.35">
      <c r="A35" s="44" t="s">
        <v>226</v>
      </c>
    </row>
    <row r="36" spans="1:1" ht="17.5" x14ac:dyDescent="0.35">
      <c r="A36" s="44"/>
    </row>
    <row r="37" spans="1:1" ht="17.5" x14ac:dyDescent="0.35">
      <c r="A37" s="47" t="s">
        <v>233</v>
      </c>
    </row>
    <row r="38" spans="1:1" ht="17.5" x14ac:dyDescent="0.35">
      <c r="A38" s="45"/>
    </row>
    <row r="39" spans="1:1" ht="17.5" x14ac:dyDescent="0.35">
      <c r="A39" s="45" t="s">
        <v>227</v>
      </c>
    </row>
    <row r="40" spans="1:1" ht="17.5" x14ac:dyDescent="0.35">
      <c r="A40" s="45" t="s">
        <v>228</v>
      </c>
    </row>
    <row r="41" spans="1:1" ht="17.5" x14ac:dyDescent="0.35">
      <c r="A41" s="45" t="s">
        <v>229</v>
      </c>
    </row>
  </sheetData>
  <pageMargins left="0.7" right="0.7" top="0.75" bottom="0.75" header="0.3" footer="0.3"/>
  <ignoredErrors>
    <ignoredError sqref="C3:C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Sales report</vt:lpstr>
      <vt:lpstr>Charts_Basic</vt:lpstr>
      <vt:lpstr>Column Chart</vt:lpstr>
      <vt:lpstr>Bar Chart</vt:lpstr>
      <vt:lpstr>Line chart</vt:lpstr>
      <vt:lpstr>Pie Chart</vt:lpstr>
      <vt:lpstr>Roads</vt:lpstr>
      <vt:lpstr>Exchange Rates</vt:lpstr>
      <vt:lpstr>Sheet3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DELL</cp:lastModifiedBy>
  <dcterms:created xsi:type="dcterms:W3CDTF">2018-08-17T04:38:08Z</dcterms:created>
  <dcterms:modified xsi:type="dcterms:W3CDTF">2026-03-30T06:34:09Z</dcterms:modified>
</cp:coreProperties>
</file>