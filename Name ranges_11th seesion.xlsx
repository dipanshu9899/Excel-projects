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3"/>
  </bookViews>
  <sheets>
    <sheet name="Name Ranges" sheetId="2" r:id="rId1"/>
    <sheet name="Usefulness" sheetId="3" r:id="rId2"/>
    <sheet name="Name Ranges+ other functions" sheetId="4" r:id="rId3"/>
    <sheet name="Practice_Name Ranges" sheetId="5" r:id="rId4"/>
    <sheet name="Practice" sheetId="1" r:id="rId5"/>
  </sheets>
  <definedNames>
    <definedName name="Customer">'Practice_Name Ranges'!$B$2:$B$18</definedName>
    <definedName name="Order">'Practice_Name Ranges'!$A$2:$A$18</definedName>
    <definedName name="Price">'Name Ranges'!$B$13:$B$18</definedName>
    <definedName name="Price_per_unit">'Practice_Name Ranges'!$D$3:$D$18</definedName>
    <definedName name="Quantity">'Practice_Name Ranges'!$C$3:$C$18</definedName>
    <definedName name="Total">'Practice_Name Ranges'!$E$3:$E$18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1" i="1"/>
  <c r="F22"/>
  <c r="E16"/>
  <c r="F16"/>
  <c r="E17"/>
  <c r="F17"/>
  <c r="E18"/>
  <c r="F18"/>
  <c r="E19"/>
  <c r="F19"/>
  <c r="E20"/>
  <c r="F20"/>
  <c r="E21"/>
  <c r="E22"/>
  <c r="F15"/>
  <c r="B47"/>
  <c r="C47"/>
  <c r="D47"/>
  <c r="E47"/>
  <c r="F47"/>
  <c r="B48"/>
  <c r="C48"/>
  <c r="D48"/>
  <c r="E48"/>
  <c r="F48"/>
  <c r="B49"/>
  <c r="C49"/>
  <c r="D49"/>
  <c r="E49"/>
  <c r="F49"/>
  <c r="B50"/>
  <c r="C50"/>
  <c r="D50"/>
  <c r="E50"/>
  <c r="F50"/>
  <c r="B51"/>
  <c r="C51"/>
  <c r="D51"/>
  <c r="E51"/>
  <c r="F51"/>
  <c r="B52"/>
  <c r="C52"/>
  <c r="D52"/>
  <c r="E52"/>
  <c r="F52"/>
  <c r="B53"/>
  <c r="C53"/>
  <c r="D53"/>
  <c r="E53"/>
  <c r="F53"/>
  <c r="C46"/>
  <c r="D46"/>
  <c r="E46"/>
  <c r="F46"/>
  <c r="B46"/>
  <c r="B27"/>
  <c r="C27"/>
  <c r="D27"/>
  <c r="E27"/>
  <c r="F27"/>
  <c r="B28"/>
  <c r="C28"/>
  <c r="D28"/>
  <c r="E28"/>
  <c r="F28"/>
  <c r="B29"/>
  <c r="C29"/>
  <c r="D29"/>
  <c r="E29"/>
  <c r="F29"/>
  <c r="B30"/>
  <c r="C30"/>
  <c r="D30"/>
  <c r="E30"/>
  <c r="F30"/>
  <c r="B31"/>
  <c r="C31"/>
  <c r="D31"/>
  <c r="E31"/>
  <c r="F31"/>
  <c r="B32"/>
  <c r="C32"/>
  <c r="D32"/>
  <c r="E32"/>
  <c r="F32"/>
  <c r="B33"/>
  <c r="C33"/>
  <c r="D33"/>
  <c r="E33"/>
  <c r="F33"/>
  <c r="C26"/>
  <c r="D26"/>
  <c r="E26"/>
  <c r="F26"/>
  <c r="B26"/>
  <c r="B16"/>
  <c r="C16"/>
  <c r="D16"/>
  <c r="B17"/>
  <c r="C17"/>
  <c r="D17"/>
  <c r="B18"/>
  <c r="C18"/>
  <c r="D18"/>
  <c r="B19"/>
  <c r="C19"/>
  <c r="D19"/>
  <c r="B20"/>
  <c r="C20"/>
  <c r="D20"/>
  <c r="B21"/>
  <c r="C21"/>
  <c r="D21"/>
  <c r="B22"/>
  <c r="C22"/>
  <c r="D22"/>
  <c r="C15"/>
  <c r="D15"/>
  <c r="E15"/>
  <c r="B15"/>
  <c r="B90" i="5"/>
  <c r="C90"/>
  <c r="D90"/>
  <c r="E90"/>
  <c r="B91"/>
  <c r="C91"/>
  <c r="D91"/>
  <c r="E91"/>
  <c r="B92"/>
  <c r="C92"/>
  <c r="D92"/>
  <c r="E92"/>
  <c r="B93"/>
  <c r="C93"/>
  <c r="D93"/>
  <c r="E93"/>
  <c r="B94"/>
  <c r="C94"/>
  <c r="D94"/>
  <c r="E94"/>
  <c r="B95"/>
  <c r="C95"/>
  <c r="D95"/>
  <c r="E95"/>
  <c r="B96"/>
  <c r="C96"/>
  <c r="D96"/>
  <c r="E96"/>
  <c r="B97"/>
  <c r="C97"/>
  <c r="D97"/>
  <c r="E97"/>
  <c r="B98"/>
  <c r="C98"/>
  <c r="D98"/>
  <c r="E98"/>
  <c r="B99"/>
  <c r="C99"/>
  <c r="D99"/>
  <c r="E99"/>
  <c r="B100"/>
  <c r="C100"/>
  <c r="D100"/>
  <c r="E100"/>
  <c r="B101"/>
  <c r="C101"/>
  <c r="D101"/>
  <c r="E101"/>
  <c r="B102"/>
  <c r="C102"/>
  <c r="D102"/>
  <c r="E102"/>
  <c r="B103"/>
  <c r="C103"/>
  <c r="D103"/>
  <c r="E103"/>
  <c r="B104"/>
  <c r="C104"/>
  <c r="D104"/>
  <c r="E104"/>
  <c r="B64"/>
  <c r="C64"/>
  <c r="D64"/>
  <c r="E64"/>
  <c r="B65"/>
  <c r="C65"/>
  <c r="D65"/>
  <c r="E65"/>
  <c r="B66"/>
  <c r="C66"/>
  <c r="D66"/>
  <c r="E66"/>
  <c r="B67"/>
  <c r="C67"/>
  <c r="D67"/>
  <c r="E67"/>
  <c r="B68"/>
  <c r="C68"/>
  <c r="D68"/>
  <c r="E68"/>
  <c r="B69"/>
  <c r="C69"/>
  <c r="D69"/>
  <c r="E69"/>
  <c r="B70"/>
  <c r="C70"/>
  <c r="D70"/>
  <c r="E70"/>
  <c r="B71"/>
  <c r="C71"/>
  <c r="D71"/>
  <c r="E71"/>
  <c r="B72"/>
  <c r="C72"/>
  <c r="D72"/>
  <c r="E72"/>
  <c r="B73"/>
  <c r="C73"/>
  <c r="D73"/>
  <c r="E73"/>
  <c r="B74"/>
  <c r="C74"/>
  <c r="D74"/>
  <c r="E74"/>
  <c r="B75"/>
  <c r="C75"/>
  <c r="D75"/>
  <c r="E75"/>
  <c r="B76"/>
  <c r="C76"/>
  <c r="D76"/>
  <c r="E76"/>
  <c r="B77"/>
  <c r="C77"/>
  <c r="D77"/>
  <c r="E77"/>
  <c r="B78"/>
  <c r="C78"/>
  <c r="D78"/>
  <c r="E78"/>
  <c r="C63"/>
  <c r="D63"/>
  <c r="E63"/>
  <c r="B63"/>
  <c r="C89"/>
  <c r="D89"/>
  <c r="E89"/>
  <c r="B89"/>
  <c r="B25"/>
  <c r="C25"/>
  <c r="D25"/>
  <c r="E25"/>
  <c r="B26"/>
  <c r="C26"/>
  <c r="D26"/>
  <c r="E26"/>
  <c r="B27"/>
  <c r="C27"/>
  <c r="D27"/>
  <c r="E27"/>
  <c r="B28"/>
  <c r="C28"/>
  <c r="D28"/>
  <c r="E28"/>
  <c r="B29"/>
  <c r="C29"/>
  <c r="D29"/>
  <c r="E29"/>
  <c r="B30"/>
  <c r="C30"/>
  <c r="D30"/>
  <c r="E30"/>
  <c r="B31"/>
  <c r="C31"/>
  <c r="D31"/>
  <c r="E31"/>
  <c r="B32"/>
  <c r="C32"/>
  <c r="D32"/>
  <c r="E32"/>
  <c r="B33"/>
  <c r="C33"/>
  <c r="D33"/>
  <c r="E33"/>
  <c r="B34"/>
  <c r="C34"/>
  <c r="D34"/>
  <c r="E34"/>
  <c r="B35"/>
  <c r="C35"/>
  <c r="D35"/>
  <c r="E35"/>
  <c r="B36"/>
  <c r="C36"/>
  <c r="D36"/>
  <c r="E36"/>
  <c r="B37"/>
  <c r="C37"/>
  <c r="D37"/>
  <c r="E37"/>
  <c r="B38"/>
  <c r="C38"/>
  <c r="D38"/>
  <c r="E38"/>
  <c r="B39"/>
  <c r="C39"/>
  <c r="D39"/>
  <c r="E39"/>
  <c r="C24"/>
  <c r="D24"/>
  <c r="E24"/>
  <c r="B24"/>
  <c r="K4" l="1"/>
  <c r="K3"/>
  <c r="K2"/>
  <c r="C19" i="2"/>
  <c r="Q84" i="5" l="1"/>
  <c r="P84"/>
  <c r="O84"/>
  <c r="N84"/>
  <c r="M84"/>
  <c r="L84"/>
  <c r="K84"/>
  <c r="J84"/>
  <c r="I84"/>
  <c r="H84"/>
  <c r="G84"/>
  <c r="F84"/>
  <c r="E84"/>
  <c r="D84"/>
  <c r="C84"/>
  <c r="B84"/>
  <c r="D59"/>
  <c r="D58"/>
  <c r="D57"/>
  <c r="D56"/>
  <c r="D55"/>
  <c r="D54"/>
  <c r="D53"/>
  <c r="D52"/>
  <c r="D51"/>
  <c r="D50"/>
  <c r="D49"/>
  <c r="D48"/>
  <c r="D47"/>
  <c r="D46"/>
  <c r="D45"/>
  <c r="D44"/>
  <c r="E4"/>
  <c r="E5"/>
  <c r="E6"/>
  <c r="E7"/>
  <c r="E8"/>
  <c r="E9"/>
  <c r="E10"/>
  <c r="E11"/>
  <c r="E12"/>
  <c r="E13"/>
  <c r="E14"/>
  <c r="E15"/>
  <c r="E16"/>
  <c r="E17"/>
  <c r="E18"/>
  <c r="E3"/>
  <c r="B19" i="2"/>
</calcChain>
</file>

<file path=xl/sharedStrings.xml><?xml version="1.0" encoding="utf-8"?>
<sst xmlns="http://schemas.openxmlformats.org/spreadsheetml/2006/main" count="266" uniqueCount="109">
  <si>
    <t>Item</t>
  </si>
  <si>
    <t>Pencil</t>
  </si>
  <si>
    <t>Eraser</t>
  </si>
  <si>
    <t>Notebook</t>
  </si>
  <si>
    <t>Marker</t>
  </si>
  <si>
    <t>Sketchpad</t>
  </si>
  <si>
    <t xml:space="preserve">pen </t>
  </si>
  <si>
    <t>Sharpner</t>
  </si>
  <si>
    <t xml:space="preserve">Crayon </t>
  </si>
  <si>
    <t xml:space="preserve">Sales Q1 </t>
  </si>
  <si>
    <t>Sales Q2</t>
  </si>
  <si>
    <t>Region</t>
  </si>
  <si>
    <t>North</t>
  </si>
  <si>
    <t>South</t>
  </si>
  <si>
    <t>East</t>
  </si>
  <si>
    <t>West</t>
  </si>
  <si>
    <t>Price</t>
  </si>
  <si>
    <t>east</t>
  </si>
  <si>
    <t>Instead of referring to a range by its cell references (like A2:A10), you give it a name (like SalesData) that makes formulas easier to read and manage.</t>
  </si>
  <si>
    <t>🔍 Example:</t>
  </si>
  <si>
    <t>Instead of writing:</t>
  </si>
  <si>
    <t>Sum (A2:A9)</t>
  </si>
  <si>
    <t xml:space="preserve">You can write </t>
  </si>
  <si>
    <t>SUM(Sales data)</t>
  </si>
  <si>
    <t xml:space="preserve">Item </t>
  </si>
  <si>
    <t>TV</t>
  </si>
  <si>
    <t>Refrigerator</t>
  </si>
  <si>
    <t>Washing Machine</t>
  </si>
  <si>
    <t>Scooter</t>
  </si>
  <si>
    <t>Car</t>
  </si>
  <si>
    <r>
      <t xml:space="preserve">A </t>
    </r>
    <r>
      <rPr>
        <b/>
        <sz val="12"/>
        <color theme="1"/>
        <rFont val="Verdana"/>
        <family val="2"/>
      </rPr>
      <t>named range</t>
    </r>
    <r>
      <rPr>
        <sz val="12"/>
        <color theme="1"/>
        <rFont val="Verdana"/>
        <family val="2"/>
      </rPr>
      <t xml:space="preserve"> is a meaningful name assigned to a cell or group of cells in Excel. </t>
    </r>
  </si>
  <si>
    <t>🎯 Why Are Named Ranges Useful?</t>
  </si>
  <si>
    <t>Formulas become easier to understand.</t>
  </si>
  <si>
    <t>You can reuse named ranges across multiple sheets and formulas.</t>
  </si>
  <si>
    <t>If the range changes, update it once in the Name Manager.</t>
  </si>
  <si>
    <t>Named ranges prevent confusion from incorrect cell references.</t>
  </si>
  <si>
    <t>They help avoid mistakes when copying formulas.</t>
  </si>
  <si>
    <t>Use named ranges in dropdowns, validation rules, and formatting conditions.</t>
  </si>
  <si>
    <t>How to Create a Named Range</t>
  </si>
  <si>
    <t>4. Click OK</t>
  </si>
  <si>
    <t>📂 Managing Named Ranges</t>
  </si>
  <si>
    <t>View all named ranges</t>
  </si>
  <si>
    <t>Edit or delete them</t>
  </si>
  <si>
    <t>Check their scope (worksheet or workbook)</t>
  </si>
  <si>
    <r>
      <t xml:space="preserve">✅ 1. </t>
    </r>
    <r>
      <rPr>
        <b/>
        <sz val="12"/>
        <color theme="1"/>
        <rFont val="Verdana"/>
        <family val="2"/>
      </rPr>
      <t>Improves Readability</t>
    </r>
  </si>
  <si>
    <t>Example: =AVERAGE(TestScores) is clearer than =AVERAGE(B2:B20).</t>
  </si>
  <si>
    <r>
      <t xml:space="preserve">✅ 2. </t>
    </r>
    <r>
      <rPr>
        <b/>
        <sz val="12"/>
        <color theme="1"/>
        <rFont val="Verdana"/>
        <family val="2"/>
      </rPr>
      <t>Simplifies Formula Management</t>
    </r>
  </si>
  <si>
    <r>
      <t xml:space="preserve">✅ 3. </t>
    </r>
    <r>
      <rPr>
        <b/>
        <sz val="12"/>
        <color theme="1"/>
        <rFont val="Verdana"/>
        <family val="2"/>
      </rPr>
      <t>Reduces Errors</t>
    </r>
  </si>
  <si>
    <r>
      <t xml:space="preserve">✅ 4. </t>
    </r>
    <r>
      <rPr>
        <b/>
        <sz val="12"/>
        <color theme="1"/>
        <rFont val="Verdana"/>
        <family val="2"/>
      </rPr>
      <t>Supports Dynamic Ranges</t>
    </r>
  </si>
  <si>
    <t>You can create dynamic named ranges using functions like OFFSET() or INDEX().</t>
  </si>
  <si>
    <r>
      <t xml:space="preserve">✅ 5. </t>
    </r>
    <r>
      <rPr>
        <b/>
        <sz val="12"/>
        <color theme="1"/>
        <rFont val="Verdana"/>
        <family val="2"/>
      </rPr>
      <t>Enhances Data Validation and Conditional Formatting</t>
    </r>
  </si>
  <si>
    <t>1. Select the cell range (e.g., B2:B10)</t>
  </si>
  <si>
    <r>
      <t xml:space="preserve">2. Go to </t>
    </r>
    <r>
      <rPr>
        <b/>
        <sz val="12"/>
        <color theme="1"/>
        <rFont val="Verdana"/>
        <family val="2"/>
      </rPr>
      <t>Formulas → Define Name</t>
    </r>
  </si>
  <si>
    <t>3. Enter a name (e.g., Sales_Q1)</t>
  </si>
  <si>
    <r>
      <t xml:space="preserve">Or use the </t>
    </r>
    <r>
      <rPr>
        <b/>
        <sz val="12"/>
        <color theme="1"/>
        <rFont val="Verdana"/>
        <family val="2"/>
      </rPr>
      <t>Name Box</t>
    </r>
    <r>
      <rPr>
        <sz val="12"/>
        <color theme="1"/>
        <rFont val="Verdana"/>
        <family val="2"/>
      </rPr>
      <t xml:space="preserve"> (left of the formula bar) to type the name directly.</t>
    </r>
  </si>
  <si>
    <r>
      <t xml:space="preserve">Go to </t>
    </r>
    <r>
      <rPr>
        <b/>
        <sz val="12"/>
        <color theme="1"/>
        <rFont val="Verdana"/>
        <family val="2"/>
      </rPr>
      <t>Formulas → Name Manager</t>
    </r>
    <r>
      <rPr>
        <sz val="12"/>
        <color theme="1"/>
        <rFont val="Verdana"/>
        <family val="2"/>
      </rPr>
      <t xml:space="preserve"> to:</t>
    </r>
  </si>
  <si>
    <t>Functions to Combine with Named Ranges</t>
  </si>
  <si>
    <t>1. SUM()</t>
  </si>
  <si>
    <t>2. AVERAGE()</t>
  </si>
  <si>
    <t>Description: Calculates the average of item prices.</t>
  </si>
  <si>
    <t>3. COUNTIF()</t>
  </si>
  <si>
    <t>Description: Counts how many items are sold in the North region.</t>
  </si>
  <si>
    <t>4. IF()</t>
  </si>
  <si>
    <t>Description: Labels items based on their price.</t>
  </si>
  <si>
    <t>5. VLOOKUP()</t>
  </si>
  <si>
    <t>Description: Finds the price of "Pen" from the table.</t>
  </si>
  <si>
    <t>6. INDEX() + MATCH()</t>
  </si>
  <si>
    <t>Description: Finds the price of "Notebook" using named ranges.</t>
  </si>
  <si>
    <t>7. OFFSET()</t>
  </si>
  <si>
    <t>Description: Dynamically sums 8 rows starting from cell B2.</t>
  </si>
  <si>
    <t>Order</t>
  </si>
  <si>
    <t>Customer</t>
  </si>
  <si>
    <t>Quantity</t>
  </si>
  <si>
    <t>Price per unit</t>
  </si>
  <si>
    <t>Aarav Mehta</t>
  </si>
  <si>
    <t>Riya Kapoor</t>
  </si>
  <si>
    <t>Kabir Sharma</t>
  </si>
  <si>
    <t>Isha Verma</t>
  </si>
  <si>
    <t>Devansh Patel</t>
  </si>
  <si>
    <t>Tanya Bansal</t>
  </si>
  <si>
    <t>Neel Khanna</t>
  </si>
  <si>
    <t>Meera Singh</t>
  </si>
  <si>
    <t>Arjun Malhotra</t>
  </si>
  <si>
    <t>Ananya Joshi</t>
  </si>
  <si>
    <t>Vivaan Desai</t>
  </si>
  <si>
    <t>Simran Kaur</t>
  </si>
  <si>
    <t>Raghav Sethi</t>
  </si>
  <si>
    <t>Naina Choudhary</t>
  </si>
  <si>
    <t>Yash Thakur</t>
  </si>
  <si>
    <t>Saakshi Saxena</t>
  </si>
  <si>
    <t>Total</t>
  </si>
  <si>
    <t>Average Quantity</t>
  </si>
  <si>
    <t>No. Of orders</t>
  </si>
  <si>
    <t>Total Sales</t>
  </si>
  <si>
    <t>Use Vlookup to fill the blanks</t>
  </si>
  <si>
    <t>Use Index-Match to fill in the blanks</t>
  </si>
  <si>
    <t>Customer name</t>
  </si>
  <si>
    <t xml:space="preserve">Use Hlookup to fill in the names </t>
  </si>
  <si>
    <t>Formula: =SUM(Sales_Q1)</t>
  </si>
  <si>
    <t>Description: Adds all values in the named range Sales_Q1.</t>
  </si>
  <si>
    <t>Formula: =AVERAGE(Price)</t>
  </si>
  <si>
    <t>Formula: =COUNTIF(Region, "North")</t>
  </si>
  <si>
    <t>Formula: =IF(Price&gt;10, "Expensive", "Cheap")</t>
  </si>
  <si>
    <t>Formula: =VLOOKUP("Pen", A2:E9, 5, FALSE)</t>
  </si>
  <si>
    <t>Formula: =INDEX(Price, MATCH("Notebook", ItemList, 0))</t>
  </si>
  <si>
    <t>Formula: =SUM(OFFSET(B2, 0, 0, 8, 1))</t>
  </si>
  <si>
    <t>Use Vlookup to fill in the blanks</t>
  </si>
  <si>
    <t>Use the above data to fill in the blanks in the given table</t>
  </si>
  <si>
    <t>Use Hlookup to fill in the blanks in the given table</t>
  </si>
</sst>
</file>

<file path=xl/styles.xml><?xml version="1.0" encoding="utf-8"?>
<styleSheet xmlns="http://schemas.openxmlformats.org/spreadsheetml/2006/main">
  <numFmts count="2">
    <numFmt numFmtId="164" formatCode="&quot;₹&quot;\ #,##0.00"/>
    <numFmt numFmtId="165" formatCode="&quot;₹&quot;\ #,##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1"/>
      <color theme="0"/>
      <name val="Verdana"/>
      <family val="2"/>
    </font>
    <font>
      <b/>
      <sz val="1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inden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3" borderId="1" xfId="0" applyFont="1" applyFill="1" applyBorder="1"/>
    <xf numFmtId="165" fontId="0" fillId="0" borderId="1" xfId="0" applyNumberFormat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4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C20" sqref="C20"/>
    </sheetView>
  </sheetViews>
  <sheetFormatPr defaultColWidth="8.85546875" defaultRowHeight="15"/>
  <cols>
    <col min="1" max="1" width="18.85546875" style="4" customWidth="1"/>
    <col min="2" max="2" width="12.140625" style="4" bestFit="1" customWidth="1"/>
    <col min="3" max="3" width="12.28515625" style="4" bestFit="1" customWidth="1"/>
    <col min="4" max="16384" width="8.85546875" style="4"/>
  </cols>
  <sheetData>
    <row r="1" spans="1:2">
      <c r="A1" s="4" t="s">
        <v>30</v>
      </c>
    </row>
    <row r="2" spans="1:2">
      <c r="A2" s="4" t="s">
        <v>18</v>
      </c>
    </row>
    <row r="4" spans="1:2">
      <c r="A4" s="4" t="s">
        <v>19</v>
      </c>
    </row>
    <row r="6" spans="1:2">
      <c r="A6" s="4" t="s">
        <v>20</v>
      </c>
    </row>
    <row r="8" spans="1:2">
      <c r="A8" s="4" t="s">
        <v>21</v>
      </c>
    </row>
    <row r="10" spans="1:2">
      <c r="A10" s="4" t="s">
        <v>22</v>
      </c>
    </row>
    <row r="11" spans="1:2">
      <c r="A11" s="4" t="s">
        <v>23</v>
      </c>
    </row>
    <row r="13" spans="1:2">
      <c r="A13" s="4" t="s">
        <v>24</v>
      </c>
      <c r="B13" s="4" t="s">
        <v>16</v>
      </c>
    </row>
    <row r="14" spans="1:2">
      <c r="A14" s="4" t="s">
        <v>25</v>
      </c>
      <c r="B14" s="4">
        <v>52980</v>
      </c>
    </row>
    <row r="15" spans="1:2">
      <c r="A15" s="4" t="s">
        <v>26</v>
      </c>
      <c r="B15" s="4">
        <v>27620</v>
      </c>
    </row>
    <row r="16" spans="1:2">
      <c r="A16" s="4" t="s">
        <v>27</v>
      </c>
      <c r="B16" s="4">
        <v>15670</v>
      </c>
    </row>
    <row r="17" spans="1:3">
      <c r="A17" s="4" t="s">
        <v>28</v>
      </c>
      <c r="B17" s="4">
        <v>56000</v>
      </c>
    </row>
    <row r="18" spans="1:3">
      <c r="A18" s="4" t="s">
        <v>29</v>
      </c>
      <c r="B18" s="4">
        <v>1067000</v>
      </c>
    </row>
    <row r="19" spans="1:3">
      <c r="B19" s="5">
        <f>SUM(B14:B18)</f>
        <v>1219270</v>
      </c>
      <c r="C19" s="5">
        <f>SUM(Price)</f>
        <v>1219270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A42"/>
  <sheetViews>
    <sheetView topLeftCell="A26" workbookViewId="0">
      <selection activeCell="A27" sqref="A27"/>
    </sheetView>
  </sheetViews>
  <sheetFormatPr defaultColWidth="8.85546875" defaultRowHeight="15"/>
  <cols>
    <col min="1" max="16384" width="8.85546875" style="4"/>
  </cols>
  <sheetData>
    <row r="2" spans="1:1">
      <c r="A2" s="4" t="s">
        <v>31</v>
      </c>
    </row>
    <row r="4" spans="1:1">
      <c r="A4" s="4" t="s">
        <v>44</v>
      </c>
    </row>
    <row r="5" spans="1:1">
      <c r="A5" s="6"/>
    </row>
    <row r="6" spans="1:1">
      <c r="A6" s="6" t="s">
        <v>32</v>
      </c>
    </row>
    <row r="7" spans="1:1">
      <c r="A7" s="6" t="s">
        <v>45</v>
      </c>
    </row>
    <row r="9" spans="1:1">
      <c r="A9" s="4" t="s">
        <v>46</v>
      </c>
    </row>
    <row r="10" spans="1:1">
      <c r="A10" s="6"/>
    </row>
    <row r="11" spans="1:1">
      <c r="A11" s="6" t="s">
        <v>33</v>
      </c>
    </row>
    <row r="12" spans="1:1">
      <c r="A12" s="6" t="s">
        <v>34</v>
      </c>
    </row>
    <row r="14" spans="1:1">
      <c r="A14" s="4" t="s">
        <v>47</v>
      </c>
    </row>
    <row r="15" spans="1:1">
      <c r="A15" s="6"/>
    </row>
    <row r="16" spans="1:1">
      <c r="A16" s="6" t="s">
        <v>35</v>
      </c>
    </row>
    <row r="17" spans="1:1">
      <c r="A17" s="6" t="s">
        <v>36</v>
      </c>
    </row>
    <row r="19" spans="1:1">
      <c r="A19" s="4" t="s">
        <v>48</v>
      </c>
    </row>
    <row r="20" spans="1:1">
      <c r="A20" s="6"/>
    </row>
    <row r="21" spans="1:1">
      <c r="A21" s="6" t="s">
        <v>49</v>
      </c>
    </row>
    <row r="23" spans="1:1">
      <c r="A23" s="4" t="s">
        <v>50</v>
      </c>
    </row>
    <row r="24" spans="1:1">
      <c r="A24" s="6"/>
    </row>
    <row r="25" spans="1:1">
      <c r="A25" s="6" t="s">
        <v>37</v>
      </c>
    </row>
    <row r="27" spans="1:1">
      <c r="A27" s="5" t="s">
        <v>38</v>
      </c>
    </row>
    <row r="28" spans="1:1">
      <c r="A28" s="6"/>
    </row>
    <row r="29" spans="1:1">
      <c r="A29" s="6" t="s">
        <v>51</v>
      </c>
    </row>
    <row r="30" spans="1:1">
      <c r="A30" s="6" t="s">
        <v>52</v>
      </c>
    </row>
    <row r="31" spans="1:1">
      <c r="A31" s="6" t="s">
        <v>53</v>
      </c>
    </row>
    <row r="32" spans="1:1">
      <c r="A32" s="6" t="s">
        <v>39</v>
      </c>
    </row>
    <row r="34" spans="1:1">
      <c r="A34" s="4" t="s">
        <v>54</v>
      </c>
    </row>
    <row r="36" spans="1:1">
      <c r="A36" s="5" t="s">
        <v>40</v>
      </c>
    </row>
    <row r="37" spans="1:1">
      <c r="A37" s="6"/>
    </row>
    <row r="38" spans="1:1">
      <c r="A38" s="6" t="s">
        <v>55</v>
      </c>
    </row>
    <row r="39" spans="1:1">
      <c r="A39" s="6"/>
    </row>
    <row r="40" spans="1:1">
      <c r="A40" s="6" t="s">
        <v>41</v>
      </c>
    </row>
    <row r="41" spans="1:1">
      <c r="A41" s="6" t="s">
        <v>42</v>
      </c>
    </row>
    <row r="42" spans="1:1">
      <c r="A42" s="6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31"/>
  <sheetViews>
    <sheetView showGridLines="0" workbookViewId="0">
      <selection activeCell="A6" sqref="A1:XFD1048576"/>
    </sheetView>
  </sheetViews>
  <sheetFormatPr defaultColWidth="8.85546875" defaultRowHeight="15"/>
  <cols>
    <col min="1" max="16384" width="8.85546875" style="4"/>
  </cols>
  <sheetData>
    <row r="3" spans="1:1">
      <c r="A3" s="5" t="s">
        <v>56</v>
      </c>
    </row>
    <row r="5" spans="1:1">
      <c r="A5" s="5" t="s">
        <v>57</v>
      </c>
    </row>
    <row r="6" spans="1:1">
      <c r="A6" s="4" t="s">
        <v>98</v>
      </c>
    </row>
    <row r="7" spans="1:1">
      <c r="A7" s="4" t="s">
        <v>99</v>
      </c>
    </row>
    <row r="9" spans="1:1">
      <c r="A9" s="5" t="s">
        <v>58</v>
      </c>
    </row>
    <row r="10" spans="1:1">
      <c r="A10" s="4" t="s">
        <v>100</v>
      </c>
    </row>
    <row r="11" spans="1:1">
      <c r="A11" s="4" t="s">
        <v>59</v>
      </c>
    </row>
    <row r="13" spans="1:1">
      <c r="A13" s="5" t="s">
        <v>60</v>
      </c>
    </row>
    <row r="14" spans="1:1">
      <c r="A14" s="4" t="s">
        <v>101</v>
      </c>
    </row>
    <row r="15" spans="1:1">
      <c r="A15" s="4" t="s">
        <v>61</v>
      </c>
    </row>
    <row r="17" spans="1:1">
      <c r="A17" s="5" t="s">
        <v>62</v>
      </c>
    </row>
    <row r="18" spans="1:1">
      <c r="A18" s="4" t="s">
        <v>102</v>
      </c>
    </row>
    <row r="19" spans="1:1">
      <c r="A19" s="4" t="s">
        <v>63</v>
      </c>
    </row>
    <row r="21" spans="1:1">
      <c r="A21" s="5" t="s">
        <v>64</v>
      </c>
    </row>
    <row r="22" spans="1:1">
      <c r="A22" s="4" t="s">
        <v>103</v>
      </c>
    </row>
    <row r="23" spans="1:1">
      <c r="A23" s="4" t="s">
        <v>65</v>
      </c>
    </row>
    <row r="25" spans="1:1">
      <c r="A25" s="5" t="s">
        <v>66</v>
      </c>
    </row>
    <row r="26" spans="1:1">
      <c r="A26" s="4" t="s">
        <v>104</v>
      </c>
    </row>
    <row r="27" spans="1:1">
      <c r="A27" s="4" t="s">
        <v>67</v>
      </c>
    </row>
    <row r="29" spans="1:1">
      <c r="A29" s="5" t="s">
        <v>68</v>
      </c>
    </row>
    <row r="30" spans="1:1">
      <c r="A30" s="4" t="s">
        <v>105</v>
      </c>
    </row>
    <row r="31" spans="1:1">
      <c r="A31" s="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Q104"/>
  <sheetViews>
    <sheetView tabSelected="1" workbookViewId="0"/>
  </sheetViews>
  <sheetFormatPr defaultRowHeight="15"/>
  <cols>
    <col min="1" max="1" width="58.5703125" customWidth="1"/>
    <col min="2" max="2" width="15.140625" bestFit="1" customWidth="1"/>
    <col min="3" max="4" width="16.5703125" bestFit="1" customWidth="1"/>
    <col min="5" max="5" width="15.140625" bestFit="1" customWidth="1"/>
    <col min="6" max="6" width="12.42578125" bestFit="1" customWidth="1"/>
    <col min="7" max="7" width="11.7109375" bestFit="1" customWidth="1"/>
    <col min="8" max="8" width="11.28515625" bestFit="1" customWidth="1"/>
    <col min="9" max="9" width="11" bestFit="1" customWidth="1"/>
    <col min="10" max="10" width="15.7109375" bestFit="1" customWidth="1"/>
    <col min="11" max="11" width="11.42578125" bestFit="1" customWidth="1"/>
    <col min="12" max="12" width="11.28515625" bestFit="1" customWidth="1"/>
    <col min="13" max="13" width="10.7109375" bestFit="1" customWidth="1"/>
    <col min="14" max="14" width="11.28515625" bestFit="1" customWidth="1"/>
    <col min="15" max="15" width="15.140625" bestFit="1" customWidth="1"/>
    <col min="16" max="16" width="10.7109375" bestFit="1" customWidth="1"/>
    <col min="17" max="17" width="13.28515625" bestFit="1" customWidth="1"/>
  </cols>
  <sheetData>
    <row r="2" spans="1:11">
      <c r="A2" s="10" t="s">
        <v>70</v>
      </c>
      <c r="B2" s="10" t="s">
        <v>71</v>
      </c>
      <c r="C2" s="10" t="s">
        <v>72</v>
      </c>
      <c r="D2" s="10" t="s">
        <v>73</v>
      </c>
      <c r="E2" s="10" t="s">
        <v>90</v>
      </c>
      <c r="J2" s="11" t="s">
        <v>91</v>
      </c>
      <c r="K2" s="11">
        <f>AVERAGE(Quantity)</f>
        <v>543.625</v>
      </c>
    </row>
    <row r="3" spans="1:11">
      <c r="A3" s="7">
        <v>1101</v>
      </c>
      <c r="B3" s="7" t="s">
        <v>74</v>
      </c>
      <c r="C3" s="7">
        <v>245</v>
      </c>
      <c r="D3" s="9">
        <v>215</v>
      </c>
      <c r="E3" s="12">
        <f>C3*D3</f>
        <v>52675</v>
      </c>
      <c r="J3" s="11" t="s">
        <v>92</v>
      </c>
      <c r="K3" s="11">
        <f>COUNT(Order)</f>
        <v>16</v>
      </c>
    </row>
    <row r="4" spans="1:11">
      <c r="A4" s="7">
        <v>1302</v>
      </c>
      <c r="B4" s="7" t="s">
        <v>75</v>
      </c>
      <c r="C4" s="7">
        <v>434</v>
      </c>
      <c r="D4" s="9">
        <v>230</v>
      </c>
      <c r="E4" s="12">
        <f t="shared" ref="E4:E18" si="0">C4*D4</f>
        <v>99820</v>
      </c>
      <c r="J4" s="11" t="s">
        <v>93</v>
      </c>
      <c r="K4" s="11">
        <f>SUM(Total)</f>
        <v>3665143</v>
      </c>
    </row>
    <row r="5" spans="1:11">
      <c r="A5" s="7">
        <v>1208</v>
      </c>
      <c r="B5" s="7" t="s">
        <v>76</v>
      </c>
      <c r="C5" s="7">
        <v>786</v>
      </c>
      <c r="D5" s="9">
        <v>238</v>
      </c>
      <c r="E5" s="12">
        <f t="shared" si="0"/>
        <v>187068</v>
      </c>
    </row>
    <row r="6" spans="1:11">
      <c r="A6" s="7">
        <v>2345</v>
      </c>
      <c r="B6" s="7" t="s">
        <v>77</v>
      </c>
      <c r="C6" s="7">
        <v>987</v>
      </c>
      <c r="D6" s="9">
        <v>333</v>
      </c>
      <c r="E6" s="12">
        <f t="shared" si="0"/>
        <v>328671</v>
      </c>
    </row>
    <row r="7" spans="1:11">
      <c r="A7" s="7">
        <v>5647</v>
      </c>
      <c r="B7" s="7" t="s">
        <v>78</v>
      </c>
      <c r="C7" s="7">
        <v>123</v>
      </c>
      <c r="D7" s="9">
        <v>490</v>
      </c>
      <c r="E7" s="12">
        <f t="shared" si="0"/>
        <v>60270</v>
      </c>
    </row>
    <row r="8" spans="1:11">
      <c r="A8" s="7">
        <v>7845</v>
      </c>
      <c r="B8" s="7" t="s">
        <v>79</v>
      </c>
      <c r="C8" s="7">
        <v>452</v>
      </c>
      <c r="D8" s="9">
        <v>567</v>
      </c>
      <c r="E8" s="12">
        <f t="shared" si="0"/>
        <v>256284</v>
      </c>
    </row>
    <row r="9" spans="1:11">
      <c r="A9" s="7">
        <v>4666</v>
      </c>
      <c r="B9" s="7" t="s">
        <v>80</v>
      </c>
      <c r="C9" s="7">
        <v>254</v>
      </c>
      <c r="D9" s="9">
        <v>892</v>
      </c>
      <c r="E9" s="12">
        <f t="shared" si="0"/>
        <v>226568</v>
      </c>
    </row>
    <row r="10" spans="1:11">
      <c r="A10" s="7">
        <v>5999</v>
      </c>
      <c r="B10" s="7" t="s">
        <v>81</v>
      </c>
      <c r="C10" s="7">
        <v>358</v>
      </c>
      <c r="D10" s="9">
        <v>398</v>
      </c>
      <c r="E10" s="12">
        <f t="shared" si="0"/>
        <v>142484</v>
      </c>
    </row>
    <row r="11" spans="1:11">
      <c r="A11" s="7">
        <v>9875</v>
      </c>
      <c r="B11" s="7" t="s">
        <v>82</v>
      </c>
      <c r="C11" s="7">
        <v>976</v>
      </c>
      <c r="D11" s="9">
        <v>112</v>
      </c>
      <c r="E11" s="12">
        <f t="shared" si="0"/>
        <v>109312</v>
      </c>
    </row>
    <row r="12" spans="1:11">
      <c r="A12" s="7">
        <v>4567</v>
      </c>
      <c r="B12" s="7" t="s">
        <v>83</v>
      </c>
      <c r="C12" s="7">
        <v>149</v>
      </c>
      <c r="D12" s="9">
        <v>115</v>
      </c>
      <c r="E12" s="12">
        <f t="shared" si="0"/>
        <v>17135</v>
      </c>
    </row>
    <row r="13" spans="1:11">
      <c r="A13" s="8">
        <v>8599.5333333333292</v>
      </c>
      <c r="B13" s="7" t="s">
        <v>84</v>
      </c>
      <c r="C13" s="7">
        <v>907</v>
      </c>
      <c r="D13" s="9">
        <v>298</v>
      </c>
      <c r="E13" s="12">
        <f t="shared" si="0"/>
        <v>270286</v>
      </c>
    </row>
    <row r="14" spans="1:11">
      <c r="A14" s="8">
        <v>9352.9939393939403</v>
      </c>
      <c r="B14" s="7" t="s">
        <v>85</v>
      </c>
      <c r="C14" s="7">
        <v>812</v>
      </c>
      <c r="D14" s="9">
        <v>900</v>
      </c>
      <c r="E14" s="12">
        <f t="shared" si="0"/>
        <v>730800</v>
      </c>
    </row>
    <row r="15" spans="1:11">
      <c r="A15" s="8">
        <v>10106.4545454545</v>
      </c>
      <c r="B15" s="7" t="s">
        <v>86</v>
      </c>
      <c r="C15" s="7">
        <v>108</v>
      </c>
      <c r="D15" s="9">
        <v>600</v>
      </c>
      <c r="E15" s="12">
        <f t="shared" si="0"/>
        <v>64800</v>
      </c>
    </row>
    <row r="16" spans="1:11">
      <c r="A16" s="8">
        <v>10859.915151515201</v>
      </c>
      <c r="B16" s="7" t="s">
        <v>87</v>
      </c>
      <c r="C16" s="7">
        <v>305</v>
      </c>
      <c r="D16" s="9">
        <v>450</v>
      </c>
      <c r="E16" s="12">
        <f t="shared" si="0"/>
        <v>137250</v>
      </c>
    </row>
    <row r="17" spans="1:5">
      <c r="A17" s="8">
        <v>10854</v>
      </c>
      <c r="B17" s="7" t="s">
        <v>88</v>
      </c>
      <c r="C17" s="7">
        <v>902</v>
      </c>
      <c r="D17" s="9">
        <v>360</v>
      </c>
      <c r="E17" s="12">
        <f t="shared" si="0"/>
        <v>324720</v>
      </c>
    </row>
    <row r="18" spans="1:5">
      <c r="A18" s="8">
        <v>1345</v>
      </c>
      <c r="B18" s="7" t="s">
        <v>89</v>
      </c>
      <c r="C18" s="7">
        <v>900</v>
      </c>
      <c r="D18" s="9">
        <v>730</v>
      </c>
      <c r="E18" s="12">
        <f t="shared" si="0"/>
        <v>657000</v>
      </c>
    </row>
    <row r="21" spans="1:5" ht="15.75">
      <c r="A21" s="5" t="s">
        <v>106</v>
      </c>
    </row>
    <row r="23" spans="1:5">
      <c r="A23" s="10" t="s">
        <v>70</v>
      </c>
      <c r="B23" s="10" t="s">
        <v>71</v>
      </c>
      <c r="C23" s="10" t="s">
        <v>72</v>
      </c>
      <c r="D23" s="10" t="s">
        <v>73</v>
      </c>
      <c r="E23" s="10" t="s">
        <v>90</v>
      </c>
    </row>
    <row r="24" spans="1:5">
      <c r="A24" s="7">
        <v>1101</v>
      </c>
      <c r="B24" s="7" t="str">
        <f>VLOOKUP($A24,$A$2:$E$18,MATCH(B$23,$A$2:$E$2,0),0)</f>
        <v>Aarav Mehta</v>
      </c>
      <c r="C24" s="7">
        <f t="shared" ref="C24:E39" si="1">VLOOKUP($A24,$A$2:$E$18,MATCH(C$23,$A$2:$E$2,0),0)</f>
        <v>245</v>
      </c>
      <c r="D24" s="7">
        <f t="shared" si="1"/>
        <v>215</v>
      </c>
      <c r="E24" s="7">
        <f t="shared" si="1"/>
        <v>52675</v>
      </c>
    </row>
    <row r="25" spans="1:5">
      <c r="A25" s="7">
        <v>1302</v>
      </c>
      <c r="B25" s="7" t="str">
        <f t="shared" ref="B25:B39" si="2">VLOOKUP($A25,$A$2:$E$18,MATCH(B$23,$A$2:$E$2,0),0)</f>
        <v>Riya Kapoor</v>
      </c>
      <c r="C25" s="7">
        <f t="shared" si="1"/>
        <v>434</v>
      </c>
      <c r="D25" s="7">
        <f t="shared" si="1"/>
        <v>230</v>
      </c>
      <c r="E25" s="7">
        <f t="shared" si="1"/>
        <v>99820</v>
      </c>
    </row>
    <row r="26" spans="1:5">
      <c r="A26" s="7">
        <v>1208</v>
      </c>
      <c r="B26" s="7" t="str">
        <f t="shared" si="2"/>
        <v>Kabir Sharma</v>
      </c>
      <c r="C26" s="7">
        <f t="shared" si="1"/>
        <v>786</v>
      </c>
      <c r="D26" s="7">
        <f t="shared" si="1"/>
        <v>238</v>
      </c>
      <c r="E26" s="7">
        <f t="shared" si="1"/>
        <v>187068</v>
      </c>
    </row>
    <row r="27" spans="1:5">
      <c r="A27" s="7">
        <v>2345</v>
      </c>
      <c r="B27" s="7" t="str">
        <f t="shared" si="2"/>
        <v>Isha Verma</v>
      </c>
      <c r="C27" s="7">
        <f t="shared" si="1"/>
        <v>987</v>
      </c>
      <c r="D27" s="7">
        <f t="shared" si="1"/>
        <v>333</v>
      </c>
      <c r="E27" s="7">
        <f t="shared" si="1"/>
        <v>328671</v>
      </c>
    </row>
    <row r="28" spans="1:5">
      <c r="A28" s="7">
        <v>5647</v>
      </c>
      <c r="B28" s="7" t="str">
        <f t="shared" si="2"/>
        <v>Devansh Patel</v>
      </c>
      <c r="C28" s="7">
        <f t="shared" si="1"/>
        <v>123</v>
      </c>
      <c r="D28" s="7">
        <f t="shared" si="1"/>
        <v>490</v>
      </c>
      <c r="E28" s="7">
        <f t="shared" si="1"/>
        <v>60270</v>
      </c>
    </row>
    <row r="29" spans="1:5">
      <c r="A29" s="7">
        <v>7845</v>
      </c>
      <c r="B29" s="7" t="str">
        <f t="shared" si="2"/>
        <v>Tanya Bansal</v>
      </c>
      <c r="C29" s="7">
        <f t="shared" si="1"/>
        <v>452</v>
      </c>
      <c r="D29" s="7">
        <f t="shared" si="1"/>
        <v>567</v>
      </c>
      <c r="E29" s="7">
        <f t="shared" si="1"/>
        <v>256284</v>
      </c>
    </row>
    <row r="30" spans="1:5">
      <c r="A30" s="7">
        <v>4666</v>
      </c>
      <c r="B30" s="7" t="str">
        <f t="shared" si="2"/>
        <v>Neel Khanna</v>
      </c>
      <c r="C30" s="7">
        <f t="shared" si="1"/>
        <v>254</v>
      </c>
      <c r="D30" s="7">
        <f t="shared" si="1"/>
        <v>892</v>
      </c>
      <c r="E30" s="7">
        <f t="shared" si="1"/>
        <v>226568</v>
      </c>
    </row>
    <row r="31" spans="1:5">
      <c r="A31" s="7">
        <v>5999</v>
      </c>
      <c r="B31" s="7" t="str">
        <f t="shared" si="2"/>
        <v>Meera Singh</v>
      </c>
      <c r="C31" s="7">
        <f t="shared" si="1"/>
        <v>358</v>
      </c>
      <c r="D31" s="7">
        <f t="shared" si="1"/>
        <v>398</v>
      </c>
      <c r="E31" s="7">
        <f t="shared" si="1"/>
        <v>142484</v>
      </c>
    </row>
    <row r="32" spans="1:5">
      <c r="A32" s="7">
        <v>9875</v>
      </c>
      <c r="B32" s="7" t="str">
        <f t="shared" si="2"/>
        <v>Arjun Malhotra</v>
      </c>
      <c r="C32" s="7">
        <f t="shared" si="1"/>
        <v>976</v>
      </c>
      <c r="D32" s="7">
        <f t="shared" si="1"/>
        <v>112</v>
      </c>
      <c r="E32" s="7">
        <f t="shared" si="1"/>
        <v>109312</v>
      </c>
    </row>
    <row r="33" spans="1:5">
      <c r="A33" s="7">
        <v>4567</v>
      </c>
      <c r="B33" s="7" t="str">
        <f t="shared" si="2"/>
        <v>Ananya Joshi</v>
      </c>
      <c r="C33" s="7">
        <f t="shared" si="1"/>
        <v>149</v>
      </c>
      <c r="D33" s="7">
        <f t="shared" si="1"/>
        <v>115</v>
      </c>
      <c r="E33" s="7">
        <f t="shared" si="1"/>
        <v>17135</v>
      </c>
    </row>
    <row r="34" spans="1:5">
      <c r="A34" s="8">
        <v>8599.5333333333292</v>
      </c>
      <c r="B34" s="7" t="str">
        <f t="shared" si="2"/>
        <v>Vivaan Desai</v>
      </c>
      <c r="C34" s="7">
        <f t="shared" si="1"/>
        <v>907</v>
      </c>
      <c r="D34" s="7">
        <f t="shared" si="1"/>
        <v>298</v>
      </c>
      <c r="E34" s="7">
        <f t="shared" si="1"/>
        <v>270286</v>
      </c>
    </row>
    <row r="35" spans="1:5">
      <c r="A35" s="8">
        <v>9352.9939393939403</v>
      </c>
      <c r="B35" s="7" t="str">
        <f t="shared" si="2"/>
        <v>Simran Kaur</v>
      </c>
      <c r="C35" s="7">
        <f t="shared" si="1"/>
        <v>812</v>
      </c>
      <c r="D35" s="7">
        <f t="shared" si="1"/>
        <v>900</v>
      </c>
      <c r="E35" s="7">
        <f t="shared" si="1"/>
        <v>730800</v>
      </c>
    </row>
    <row r="36" spans="1:5">
      <c r="A36" s="8">
        <v>10106.4545454545</v>
      </c>
      <c r="B36" s="7" t="str">
        <f t="shared" si="2"/>
        <v>Raghav Sethi</v>
      </c>
      <c r="C36" s="7">
        <f t="shared" si="1"/>
        <v>108</v>
      </c>
      <c r="D36" s="7">
        <f t="shared" si="1"/>
        <v>600</v>
      </c>
      <c r="E36" s="7">
        <f t="shared" si="1"/>
        <v>64800</v>
      </c>
    </row>
    <row r="37" spans="1:5">
      <c r="A37" s="8">
        <v>10859.915151515201</v>
      </c>
      <c r="B37" s="7" t="str">
        <f t="shared" si="2"/>
        <v>Naina Choudhary</v>
      </c>
      <c r="C37" s="7">
        <f t="shared" si="1"/>
        <v>305</v>
      </c>
      <c r="D37" s="7">
        <f t="shared" si="1"/>
        <v>450</v>
      </c>
      <c r="E37" s="7">
        <f t="shared" si="1"/>
        <v>137250</v>
      </c>
    </row>
    <row r="38" spans="1:5">
      <c r="A38" s="8">
        <v>10854</v>
      </c>
      <c r="B38" s="7" t="str">
        <f t="shared" si="2"/>
        <v>Yash Thakur</v>
      </c>
      <c r="C38" s="7">
        <f t="shared" si="1"/>
        <v>902</v>
      </c>
      <c r="D38" s="7">
        <f t="shared" si="1"/>
        <v>360</v>
      </c>
      <c r="E38" s="7">
        <f t="shared" si="1"/>
        <v>324720</v>
      </c>
    </row>
    <row r="39" spans="1:5">
      <c r="A39" s="8">
        <v>1345</v>
      </c>
      <c r="B39" s="7" t="str">
        <f t="shared" si="2"/>
        <v>Saakshi Saxena</v>
      </c>
      <c r="C39" s="7">
        <f t="shared" si="1"/>
        <v>900</v>
      </c>
      <c r="D39" s="7">
        <f t="shared" si="1"/>
        <v>730</v>
      </c>
      <c r="E39" s="7">
        <f t="shared" si="1"/>
        <v>657000</v>
      </c>
    </row>
    <row r="43" spans="1:5">
      <c r="A43" s="10" t="s">
        <v>70</v>
      </c>
      <c r="B43" s="10" t="s">
        <v>72</v>
      </c>
      <c r="C43" s="10" t="s">
        <v>73</v>
      </c>
      <c r="D43" s="10" t="s">
        <v>90</v>
      </c>
      <c r="E43" s="10" t="s">
        <v>71</v>
      </c>
    </row>
    <row r="44" spans="1:5">
      <c r="A44" s="7">
        <v>1101</v>
      </c>
      <c r="B44" s="7">
        <v>245</v>
      </c>
      <c r="C44" s="9">
        <v>215</v>
      </c>
      <c r="D44" s="12">
        <f>B44*C44</f>
        <v>52675</v>
      </c>
      <c r="E44" s="7" t="s">
        <v>74</v>
      </c>
    </row>
    <row r="45" spans="1:5">
      <c r="A45" s="7">
        <v>1302</v>
      </c>
      <c r="B45" s="7">
        <v>434</v>
      </c>
      <c r="C45" s="9">
        <v>230</v>
      </c>
      <c r="D45" s="12">
        <f t="shared" ref="D45:D59" si="3">B45*C45</f>
        <v>99820</v>
      </c>
      <c r="E45" s="7" t="s">
        <v>75</v>
      </c>
    </row>
    <row r="46" spans="1:5">
      <c r="A46" s="7">
        <v>1208</v>
      </c>
      <c r="B46" s="7">
        <v>786</v>
      </c>
      <c r="C46" s="9">
        <v>238</v>
      </c>
      <c r="D46" s="12">
        <f t="shared" si="3"/>
        <v>187068</v>
      </c>
      <c r="E46" s="7" t="s">
        <v>76</v>
      </c>
    </row>
    <row r="47" spans="1:5">
      <c r="A47" s="7">
        <v>2345</v>
      </c>
      <c r="B47" s="7">
        <v>987</v>
      </c>
      <c r="C47" s="9">
        <v>333</v>
      </c>
      <c r="D47" s="12">
        <f t="shared" si="3"/>
        <v>328671</v>
      </c>
      <c r="E47" s="7" t="s">
        <v>77</v>
      </c>
    </row>
    <row r="48" spans="1:5">
      <c r="A48" s="7">
        <v>5647</v>
      </c>
      <c r="B48" s="7">
        <v>123</v>
      </c>
      <c r="C48" s="9">
        <v>490</v>
      </c>
      <c r="D48" s="12">
        <f t="shared" si="3"/>
        <v>60270</v>
      </c>
      <c r="E48" s="7" t="s">
        <v>78</v>
      </c>
    </row>
    <row r="49" spans="1:5">
      <c r="A49" s="7">
        <v>7845</v>
      </c>
      <c r="B49" s="7">
        <v>452</v>
      </c>
      <c r="C49" s="9">
        <v>567</v>
      </c>
      <c r="D49" s="12">
        <f t="shared" si="3"/>
        <v>256284</v>
      </c>
      <c r="E49" s="7" t="s">
        <v>79</v>
      </c>
    </row>
    <row r="50" spans="1:5">
      <c r="A50" s="7">
        <v>4666</v>
      </c>
      <c r="B50" s="7">
        <v>254</v>
      </c>
      <c r="C50" s="9">
        <v>892</v>
      </c>
      <c r="D50" s="12">
        <f t="shared" si="3"/>
        <v>226568</v>
      </c>
      <c r="E50" s="7" t="s">
        <v>80</v>
      </c>
    </row>
    <row r="51" spans="1:5">
      <c r="A51" s="7">
        <v>5999</v>
      </c>
      <c r="B51" s="7">
        <v>358</v>
      </c>
      <c r="C51" s="9">
        <v>398</v>
      </c>
      <c r="D51" s="12">
        <f t="shared" si="3"/>
        <v>142484</v>
      </c>
      <c r="E51" s="7" t="s">
        <v>81</v>
      </c>
    </row>
    <row r="52" spans="1:5">
      <c r="A52" s="7">
        <v>9875</v>
      </c>
      <c r="B52" s="7">
        <v>976</v>
      </c>
      <c r="C52" s="9">
        <v>112</v>
      </c>
      <c r="D52" s="12">
        <f t="shared" si="3"/>
        <v>109312</v>
      </c>
      <c r="E52" s="7" t="s">
        <v>82</v>
      </c>
    </row>
    <row r="53" spans="1:5">
      <c r="A53" s="7">
        <v>4567</v>
      </c>
      <c r="B53" s="7">
        <v>149</v>
      </c>
      <c r="C53" s="9">
        <v>115</v>
      </c>
      <c r="D53" s="12">
        <f t="shared" si="3"/>
        <v>17135</v>
      </c>
      <c r="E53" s="7" t="s">
        <v>83</v>
      </c>
    </row>
    <row r="54" spans="1:5">
      <c r="A54" s="8">
        <v>8599.5333333333292</v>
      </c>
      <c r="B54" s="7">
        <v>907</v>
      </c>
      <c r="C54" s="9">
        <v>298</v>
      </c>
      <c r="D54" s="12">
        <f t="shared" si="3"/>
        <v>270286</v>
      </c>
      <c r="E54" s="7" t="s">
        <v>84</v>
      </c>
    </row>
    <row r="55" spans="1:5">
      <c r="A55" s="8">
        <v>9352.9939393939403</v>
      </c>
      <c r="B55" s="7">
        <v>812</v>
      </c>
      <c r="C55" s="9">
        <v>900</v>
      </c>
      <c r="D55" s="12">
        <f t="shared" si="3"/>
        <v>730800</v>
      </c>
      <c r="E55" s="7" t="s">
        <v>85</v>
      </c>
    </row>
    <row r="56" spans="1:5">
      <c r="A56" s="8">
        <v>10106.4545454545</v>
      </c>
      <c r="B56" s="7">
        <v>108</v>
      </c>
      <c r="C56" s="9">
        <v>600</v>
      </c>
      <c r="D56" s="12">
        <f t="shared" si="3"/>
        <v>64800</v>
      </c>
      <c r="E56" s="7" t="s">
        <v>86</v>
      </c>
    </row>
    <row r="57" spans="1:5">
      <c r="A57" s="8">
        <v>10859.915151515201</v>
      </c>
      <c r="B57" s="7">
        <v>305</v>
      </c>
      <c r="C57" s="9">
        <v>450</v>
      </c>
      <c r="D57" s="12">
        <f t="shared" si="3"/>
        <v>137250</v>
      </c>
      <c r="E57" s="7" t="s">
        <v>87</v>
      </c>
    </row>
    <row r="58" spans="1:5">
      <c r="A58" s="8">
        <v>10854</v>
      </c>
      <c r="B58" s="7">
        <v>902</v>
      </c>
      <c r="C58" s="9">
        <v>360</v>
      </c>
      <c r="D58" s="12">
        <f t="shared" si="3"/>
        <v>324720</v>
      </c>
      <c r="E58" s="7" t="s">
        <v>88</v>
      </c>
    </row>
    <row r="59" spans="1:5">
      <c r="A59" s="8">
        <v>1345</v>
      </c>
      <c r="B59" s="7">
        <v>900</v>
      </c>
      <c r="C59" s="9">
        <v>730</v>
      </c>
      <c r="D59" s="12">
        <f t="shared" si="3"/>
        <v>657000</v>
      </c>
      <c r="E59" s="7" t="s">
        <v>89</v>
      </c>
    </row>
    <row r="61" spans="1:5">
      <c r="A61" s="3" t="s">
        <v>107</v>
      </c>
    </row>
    <row r="62" spans="1:5">
      <c r="A62" s="10" t="s">
        <v>71</v>
      </c>
      <c r="B62" s="10" t="s">
        <v>70</v>
      </c>
      <c r="C62" s="10" t="s">
        <v>72</v>
      </c>
      <c r="D62" s="10" t="s">
        <v>73</v>
      </c>
      <c r="E62" s="10" t="s">
        <v>90</v>
      </c>
    </row>
    <row r="63" spans="1:5">
      <c r="A63" s="7" t="s">
        <v>74</v>
      </c>
      <c r="B63" s="7">
        <f>INDEX($A$43:$E$59,MATCH($A63,$E$43:$E$59,0),MATCH(B$62,$A$43:$E$43,0))</f>
        <v>1101</v>
      </c>
      <c r="C63" s="7">
        <f t="shared" ref="C63:E78" si="4">INDEX($A$43:$E$59,MATCH($A63,$E$43:$E$59,0),MATCH(C$62,$A$43:$E$43,0))</f>
        <v>245</v>
      </c>
      <c r="D63" s="7">
        <f t="shared" si="4"/>
        <v>215</v>
      </c>
      <c r="E63" s="7">
        <f t="shared" si="4"/>
        <v>52675</v>
      </c>
    </row>
    <row r="64" spans="1:5">
      <c r="A64" s="7" t="s">
        <v>75</v>
      </c>
      <c r="B64" s="7">
        <f t="shared" ref="B64:B78" si="5">INDEX($A$43:$E$59,MATCH($A64,$E$43:$E$59,0),MATCH(B$62,$A$43:$E$43,0))</f>
        <v>1302</v>
      </c>
      <c r="C64" s="7">
        <f t="shared" si="4"/>
        <v>434</v>
      </c>
      <c r="D64" s="7">
        <f t="shared" si="4"/>
        <v>230</v>
      </c>
      <c r="E64" s="7">
        <f t="shared" si="4"/>
        <v>99820</v>
      </c>
    </row>
    <row r="65" spans="1:5">
      <c r="A65" s="7" t="s">
        <v>76</v>
      </c>
      <c r="B65" s="7">
        <f t="shared" si="5"/>
        <v>1208</v>
      </c>
      <c r="C65" s="7">
        <f t="shared" si="4"/>
        <v>786</v>
      </c>
      <c r="D65" s="7">
        <f t="shared" si="4"/>
        <v>238</v>
      </c>
      <c r="E65" s="7">
        <f t="shared" si="4"/>
        <v>187068</v>
      </c>
    </row>
    <row r="66" spans="1:5">
      <c r="A66" s="7" t="s">
        <v>77</v>
      </c>
      <c r="B66" s="7">
        <f t="shared" si="5"/>
        <v>2345</v>
      </c>
      <c r="C66" s="7">
        <f t="shared" si="4"/>
        <v>987</v>
      </c>
      <c r="D66" s="7">
        <f t="shared" si="4"/>
        <v>333</v>
      </c>
      <c r="E66" s="7">
        <f t="shared" si="4"/>
        <v>328671</v>
      </c>
    </row>
    <row r="67" spans="1:5">
      <c r="A67" s="7" t="s">
        <v>78</v>
      </c>
      <c r="B67" s="7">
        <f t="shared" si="5"/>
        <v>5647</v>
      </c>
      <c r="C67" s="7">
        <f t="shared" si="4"/>
        <v>123</v>
      </c>
      <c r="D67" s="7">
        <f t="shared" si="4"/>
        <v>490</v>
      </c>
      <c r="E67" s="7">
        <f t="shared" si="4"/>
        <v>60270</v>
      </c>
    </row>
    <row r="68" spans="1:5">
      <c r="A68" s="7" t="s">
        <v>79</v>
      </c>
      <c r="B68" s="7">
        <f t="shared" si="5"/>
        <v>7845</v>
      </c>
      <c r="C68" s="7">
        <f t="shared" si="4"/>
        <v>452</v>
      </c>
      <c r="D68" s="7">
        <f t="shared" si="4"/>
        <v>567</v>
      </c>
      <c r="E68" s="7">
        <f t="shared" si="4"/>
        <v>256284</v>
      </c>
    </row>
    <row r="69" spans="1:5">
      <c r="A69" s="7" t="s">
        <v>80</v>
      </c>
      <c r="B69" s="7">
        <f t="shared" si="5"/>
        <v>4666</v>
      </c>
      <c r="C69" s="7">
        <f t="shared" si="4"/>
        <v>254</v>
      </c>
      <c r="D69" s="7">
        <f t="shared" si="4"/>
        <v>892</v>
      </c>
      <c r="E69" s="7">
        <f t="shared" si="4"/>
        <v>226568</v>
      </c>
    </row>
    <row r="70" spans="1:5">
      <c r="A70" s="7" t="s">
        <v>81</v>
      </c>
      <c r="B70" s="7">
        <f t="shared" si="5"/>
        <v>5999</v>
      </c>
      <c r="C70" s="7">
        <f t="shared" si="4"/>
        <v>358</v>
      </c>
      <c r="D70" s="7">
        <f t="shared" si="4"/>
        <v>398</v>
      </c>
      <c r="E70" s="7">
        <f t="shared" si="4"/>
        <v>142484</v>
      </c>
    </row>
    <row r="71" spans="1:5">
      <c r="A71" s="7" t="s">
        <v>82</v>
      </c>
      <c r="B71" s="7">
        <f t="shared" si="5"/>
        <v>9875</v>
      </c>
      <c r="C71" s="7">
        <f t="shared" si="4"/>
        <v>976</v>
      </c>
      <c r="D71" s="7">
        <f t="shared" si="4"/>
        <v>112</v>
      </c>
      <c r="E71" s="7">
        <f t="shared" si="4"/>
        <v>109312</v>
      </c>
    </row>
    <row r="72" spans="1:5">
      <c r="A72" s="7" t="s">
        <v>83</v>
      </c>
      <c r="B72" s="7">
        <f t="shared" si="5"/>
        <v>4567</v>
      </c>
      <c r="C72" s="7">
        <f t="shared" si="4"/>
        <v>149</v>
      </c>
      <c r="D72" s="7">
        <f t="shared" si="4"/>
        <v>115</v>
      </c>
      <c r="E72" s="7">
        <f t="shared" si="4"/>
        <v>17135</v>
      </c>
    </row>
    <row r="73" spans="1:5">
      <c r="A73" s="7" t="s">
        <v>84</v>
      </c>
      <c r="B73" s="7">
        <f t="shared" si="5"/>
        <v>8599.5333333333292</v>
      </c>
      <c r="C73" s="7">
        <f t="shared" si="4"/>
        <v>907</v>
      </c>
      <c r="D73" s="7">
        <f t="shared" si="4"/>
        <v>298</v>
      </c>
      <c r="E73" s="7">
        <f t="shared" si="4"/>
        <v>270286</v>
      </c>
    </row>
    <row r="74" spans="1:5">
      <c r="A74" s="7" t="s">
        <v>85</v>
      </c>
      <c r="B74" s="7">
        <f t="shared" si="5"/>
        <v>9352.9939393939403</v>
      </c>
      <c r="C74" s="7">
        <f t="shared" si="4"/>
        <v>812</v>
      </c>
      <c r="D74" s="7">
        <f t="shared" si="4"/>
        <v>900</v>
      </c>
      <c r="E74" s="7">
        <f t="shared" si="4"/>
        <v>730800</v>
      </c>
    </row>
    <row r="75" spans="1:5">
      <c r="A75" s="7" t="s">
        <v>86</v>
      </c>
      <c r="B75" s="7">
        <f t="shared" si="5"/>
        <v>10106.4545454545</v>
      </c>
      <c r="C75" s="7">
        <f t="shared" si="4"/>
        <v>108</v>
      </c>
      <c r="D75" s="7">
        <f t="shared" si="4"/>
        <v>600</v>
      </c>
      <c r="E75" s="7">
        <f t="shared" si="4"/>
        <v>64800</v>
      </c>
    </row>
    <row r="76" spans="1:5">
      <c r="A76" s="7" t="s">
        <v>87</v>
      </c>
      <c r="B76" s="7">
        <f t="shared" si="5"/>
        <v>10859.915151515201</v>
      </c>
      <c r="C76" s="7">
        <f t="shared" si="4"/>
        <v>305</v>
      </c>
      <c r="D76" s="7">
        <f t="shared" si="4"/>
        <v>450</v>
      </c>
      <c r="E76" s="7">
        <f t="shared" si="4"/>
        <v>137250</v>
      </c>
    </row>
    <row r="77" spans="1:5">
      <c r="A77" s="7" t="s">
        <v>88</v>
      </c>
      <c r="B77" s="7">
        <f t="shared" si="5"/>
        <v>10854</v>
      </c>
      <c r="C77" s="7">
        <f t="shared" si="4"/>
        <v>902</v>
      </c>
      <c r="D77" s="7">
        <f t="shared" si="4"/>
        <v>360</v>
      </c>
      <c r="E77" s="7">
        <f t="shared" si="4"/>
        <v>324720</v>
      </c>
    </row>
    <row r="78" spans="1:5">
      <c r="A78" s="7" t="s">
        <v>89</v>
      </c>
      <c r="B78" s="7">
        <f t="shared" si="5"/>
        <v>1345</v>
      </c>
      <c r="C78" s="7">
        <f t="shared" si="4"/>
        <v>900</v>
      </c>
      <c r="D78" s="7">
        <f t="shared" si="4"/>
        <v>730</v>
      </c>
      <c r="E78" s="7">
        <f t="shared" si="4"/>
        <v>657000</v>
      </c>
    </row>
    <row r="81" spans="1:17">
      <c r="A81" s="10" t="s">
        <v>70</v>
      </c>
      <c r="B81" s="7">
        <v>1101</v>
      </c>
      <c r="C81" s="7">
        <v>1302</v>
      </c>
      <c r="D81" s="7">
        <v>1208</v>
      </c>
      <c r="E81" s="7">
        <v>2345</v>
      </c>
      <c r="F81" s="7">
        <v>5647</v>
      </c>
      <c r="G81" s="7">
        <v>7845</v>
      </c>
      <c r="H81" s="7">
        <v>4666</v>
      </c>
      <c r="I81" s="7">
        <v>5999</v>
      </c>
      <c r="J81" s="7">
        <v>9875</v>
      </c>
      <c r="K81" s="7">
        <v>4567</v>
      </c>
      <c r="L81" s="8">
        <v>8599.5333333333292</v>
      </c>
      <c r="M81" s="8">
        <v>9352.9939393939403</v>
      </c>
      <c r="N81" s="8">
        <v>10106.4545454545</v>
      </c>
      <c r="O81" s="8">
        <v>10859.915151515201</v>
      </c>
      <c r="P81" s="8">
        <v>10854</v>
      </c>
      <c r="Q81" s="8">
        <v>1345</v>
      </c>
    </row>
    <row r="82" spans="1:17">
      <c r="A82" s="10" t="s">
        <v>72</v>
      </c>
      <c r="B82" s="7">
        <v>245</v>
      </c>
      <c r="C82" s="7">
        <v>434</v>
      </c>
      <c r="D82" s="7">
        <v>786</v>
      </c>
      <c r="E82" s="7">
        <v>987</v>
      </c>
      <c r="F82" s="7">
        <v>123</v>
      </c>
      <c r="G82" s="7">
        <v>452</v>
      </c>
      <c r="H82" s="7">
        <v>254</v>
      </c>
      <c r="I82" s="7">
        <v>358</v>
      </c>
      <c r="J82" s="7">
        <v>976</v>
      </c>
      <c r="K82" s="7">
        <v>149</v>
      </c>
      <c r="L82" s="7">
        <v>907</v>
      </c>
      <c r="M82" s="7">
        <v>812</v>
      </c>
      <c r="N82" s="7">
        <v>108</v>
      </c>
      <c r="O82" s="7">
        <v>305</v>
      </c>
      <c r="P82" s="7">
        <v>902</v>
      </c>
      <c r="Q82" s="7">
        <v>900</v>
      </c>
    </row>
    <row r="83" spans="1:17">
      <c r="A83" s="10" t="s">
        <v>73</v>
      </c>
      <c r="B83" s="9">
        <v>215</v>
      </c>
      <c r="C83" s="9">
        <v>230</v>
      </c>
      <c r="D83" s="9">
        <v>238</v>
      </c>
      <c r="E83" s="9">
        <v>333</v>
      </c>
      <c r="F83" s="9">
        <v>490</v>
      </c>
      <c r="G83" s="9">
        <v>567</v>
      </c>
      <c r="H83" s="9">
        <v>892</v>
      </c>
      <c r="I83" s="9">
        <v>398</v>
      </c>
      <c r="J83" s="9">
        <v>112</v>
      </c>
      <c r="K83" s="9">
        <v>115</v>
      </c>
      <c r="L83" s="9">
        <v>298</v>
      </c>
      <c r="M83" s="9">
        <v>900</v>
      </c>
      <c r="N83" s="9">
        <v>600</v>
      </c>
      <c r="O83" s="9">
        <v>450</v>
      </c>
      <c r="P83" s="9">
        <v>360</v>
      </c>
      <c r="Q83" s="9">
        <v>730</v>
      </c>
    </row>
    <row r="84" spans="1:17">
      <c r="A84" s="10" t="s">
        <v>90</v>
      </c>
      <c r="B84" s="12">
        <f t="shared" ref="B84:Q84" si="6">B82*B83</f>
        <v>52675</v>
      </c>
      <c r="C84" s="12">
        <f t="shared" si="6"/>
        <v>99820</v>
      </c>
      <c r="D84" s="12">
        <f t="shared" si="6"/>
        <v>187068</v>
      </c>
      <c r="E84" s="12">
        <f t="shared" si="6"/>
        <v>328671</v>
      </c>
      <c r="F84" s="12">
        <f t="shared" si="6"/>
        <v>60270</v>
      </c>
      <c r="G84" s="12">
        <f t="shared" si="6"/>
        <v>256284</v>
      </c>
      <c r="H84" s="12">
        <f t="shared" si="6"/>
        <v>226568</v>
      </c>
      <c r="I84" s="12">
        <f t="shared" si="6"/>
        <v>142484</v>
      </c>
      <c r="J84" s="12">
        <f t="shared" si="6"/>
        <v>109312</v>
      </c>
      <c r="K84" s="12">
        <f t="shared" si="6"/>
        <v>17135</v>
      </c>
      <c r="L84" s="12">
        <f t="shared" si="6"/>
        <v>270286</v>
      </c>
      <c r="M84" s="12">
        <f t="shared" si="6"/>
        <v>730800</v>
      </c>
      <c r="N84" s="12">
        <f t="shared" si="6"/>
        <v>64800</v>
      </c>
      <c r="O84" s="12">
        <f t="shared" si="6"/>
        <v>137250</v>
      </c>
      <c r="P84" s="12">
        <f t="shared" si="6"/>
        <v>324720</v>
      </c>
      <c r="Q84" s="12">
        <f t="shared" si="6"/>
        <v>657000</v>
      </c>
    </row>
    <row r="85" spans="1:17">
      <c r="A85" s="10" t="s">
        <v>71</v>
      </c>
      <c r="B85" s="7" t="s">
        <v>74</v>
      </c>
      <c r="C85" s="7" t="s">
        <v>75</v>
      </c>
      <c r="D85" s="7" t="s">
        <v>76</v>
      </c>
      <c r="E85" s="7" t="s">
        <v>77</v>
      </c>
      <c r="F85" s="7" t="s">
        <v>78</v>
      </c>
      <c r="G85" s="7" t="s">
        <v>79</v>
      </c>
      <c r="H85" s="7" t="s">
        <v>80</v>
      </c>
      <c r="I85" s="7" t="s">
        <v>81</v>
      </c>
      <c r="J85" s="7" t="s">
        <v>82</v>
      </c>
      <c r="K85" s="7" t="s">
        <v>83</v>
      </c>
      <c r="L85" s="7" t="s">
        <v>84</v>
      </c>
      <c r="M85" s="7" t="s">
        <v>85</v>
      </c>
      <c r="N85" s="7" t="s">
        <v>86</v>
      </c>
      <c r="O85" s="7" t="s">
        <v>87</v>
      </c>
      <c r="P85" s="7" t="s">
        <v>88</v>
      </c>
      <c r="Q85" s="7" t="s">
        <v>89</v>
      </c>
    </row>
    <row r="87" spans="1:17">
      <c r="A87" s="16" t="s">
        <v>108</v>
      </c>
    </row>
    <row r="88" spans="1:17">
      <c r="A88" s="10" t="s">
        <v>70</v>
      </c>
      <c r="B88" s="10" t="s">
        <v>71</v>
      </c>
      <c r="C88" s="10" t="s">
        <v>72</v>
      </c>
      <c r="D88" s="10" t="s">
        <v>73</v>
      </c>
      <c r="E88" s="10" t="s">
        <v>90</v>
      </c>
    </row>
    <row r="89" spans="1:17">
      <c r="A89" s="7">
        <v>1101</v>
      </c>
      <c r="B89" s="7" t="str">
        <f>HLOOKUP($A89,$A$81:$Q$85,MATCH(B$88,$A$81:$A$85,0),0)</f>
        <v>Aarav Mehta</v>
      </c>
      <c r="C89" s="7">
        <f t="shared" ref="C89:E104" si="7">HLOOKUP($A89,$A$81:$Q$85,MATCH(C$88,$A$81:$A$85,0),0)</f>
        <v>245</v>
      </c>
      <c r="D89" s="7">
        <f t="shared" si="7"/>
        <v>215</v>
      </c>
      <c r="E89" s="7">
        <f t="shared" si="7"/>
        <v>52675</v>
      </c>
    </row>
    <row r="90" spans="1:17">
      <c r="A90" s="7">
        <v>1302</v>
      </c>
      <c r="B90" s="7" t="str">
        <f t="shared" ref="B90:B104" si="8">HLOOKUP($A90,$A$81:$Q$85,MATCH(B$88,$A$81:$A$85,0),0)</f>
        <v>Riya Kapoor</v>
      </c>
      <c r="C90" s="7">
        <f t="shared" si="7"/>
        <v>434</v>
      </c>
      <c r="D90" s="7">
        <f t="shared" si="7"/>
        <v>230</v>
      </c>
      <c r="E90" s="7">
        <f t="shared" si="7"/>
        <v>99820</v>
      </c>
    </row>
    <row r="91" spans="1:17">
      <c r="A91" s="7">
        <v>1208</v>
      </c>
      <c r="B91" s="7" t="str">
        <f t="shared" si="8"/>
        <v>Kabir Sharma</v>
      </c>
      <c r="C91" s="7">
        <f t="shared" si="7"/>
        <v>786</v>
      </c>
      <c r="D91" s="7">
        <f t="shared" si="7"/>
        <v>238</v>
      </c>
      <c r="E91" s="7">
        <f t="shared" si="7"/>
        <v>187068</v>
      </c>
    </row>
    <row r="92" spans="1:17">
      <c r="A92" s="7">
        <v>2345</v>
      </c>
      <c r="B92" s="7" t="str">
        <f t="shared" si="8"/>
        <v>Isha Verma</v>
      </c>
      <c r="C92" s="7">
        <f t="shared" si="7"/>
        <v>987</v>
      </c>
      <c r="D92" s="7">
        <f t="shared" si="7"/>
        <v>333</v>
      </c>
      <c r="E92" s="7">
        <f t="shared" si="7"/>
        <v>328671</v>
      </c>
    </row>
    <row r="93" spans="1:17">
      <c r="A93" s="7">
        <v>5647</v>
      </c>
      <c r="B93" s="7" t="str">
        <f t="shared" si="8"/>
        <v>Devansh Patel</v>
      </c>
      <c r="C93" s="7">
        <f t="shared" si="7"/>
        <v>123</v>
      </c>
      <c r="D93" s="7">
        <f t="shared" si="7"/>
        <v>490</v>
      </c>
      <c r="E93" s="7">
        <f t="shared" si="7"/>
        <v>60270</v>
      </c>
    </row>
    <row r="94" spans="1:17">
      <c r="A94" s="7">
        <v>7845</v>
      </c>
      <c r="B94" s="7" t="str">
        <f t="shared" si="8"/>
        <v>Tanya Bansal</v>
      </c>
      <c r="C94" s="7">
        <f t="shared" si="7"/>
        <v>452</v>
      </c>
      <c r="D94" s="7">
        <f t="shared" si="7"/>
        <v>567</v>
      </c>
      <c r="E94" s="7">
        <f t="shared" si="7"/>
        <v>256284</v>
      </c>
    </row>
    <row r="95" spans="1:17">
      <c r="A95" s="7">
        <v>4666</v>
      </c>
      <c r="B95" s="7" t="str">
        <f t="shared" si="8"/>
        <v>Neel Khanna</v>
      </c>
      <c r="C95" s="7">
        <f t="shared" si="7"/>
        <v>254</v>
      </c>
      <c r="D95" s="7">
        <f t="shared" si="7"/>
        <v>892</v>
      </c>
      <c r="E95" s="7">
        <f t="shared" si="7"/>
        <v>226568</v>
      </c>
    </row>
    <row r="96" spans="1:17">
      <c r="A96" s="7">
        <v>5999</v>
      </c>
      <c r="B96" s="7" t="str">
        <f t="shared" si="8"/>
        <v>Meera Singh</v>
      </c>
      <c r="C96" s="7">
        <f t="shared" si="7"/>
        <v>358</v>
      </c>
      <c r="D96" s="7">
        <f t="shared" si="7"/>
        <v>398</v>
      </c>
      <c r="E96" s="7">
        <f t="shared" si="7"/>
        <v>142484</v>
      </c>
    </row>
    <row r="97" spans="1:5">
      <c r="A97" s="7">
        <v>9875</v>
      </c>
      <c r="B97" s="7" t="str">
        <f t="shared" si="8"/>
        <v>Arjun Malhotra</v>
      </c>
      <c r="C97" s="7">
        <f t="shared" si="7"/>
        <v>976</v>
      </c>
      <c r="D97" s="7">
        <f t="shared" si="7"/>
        <v>112</v>
      </c>
      <c r="E97" s="7">
        <f t="shared" si="7"/>
        <v>109312</v>
      </c>
    </row>
    <row r="98" spans="1:5">
      <c r="A98" s="7">
        <v>4567</v>
      </c>
      <c r="B98" s="7" t="str">
        <f t="shared" si="8"/>
        <v>Ananya Joshi</v>
      </c>
      <c r="C98" s="7">
        <f t="shared" si="7"/>
        <v>149</v>
      </c>
      <c r="D98" s="7">
        <f t="shared" si="7"/>
        <v>115</v>
      </c>
      <c r="E98" s="7">
        <f t="shared" si="7"/>
        <v>17135</v>
      </c>
    </row>
    <row r="99" spans="1:5">
      <c r="A99" s="8">
        <v>8599.5333333333292</v>
      </c>
      <c r="B99" s="7" t="str">
        <f t="shared" si="8"/>
        <v>Vivaan Desai</v>
      </c>
      <c r="C99" s="7">
        <f t="shared" si="7"/>
        <v>907</v>
      </c>
      <c r="D99" s="7">
        <f t="shared" si="7"/>
        <v>298</v>
      </c>
      <c r="E99" s="7">
        <f t="shared" si="7"/>
        <v>270286</v>
      </c>
    </row>
    <row r="100" spans="1:5">
      <c r="A100" s="8">
        <v>9352.9939393939403</v>
      </c>
      <c r="B100" s="7" t="str">
        <f t="shared" si="8"/>
        <v>Simran Kaur</v>
      </c>
      <c r="C100" s="7">
        <f t="shared" si="7"/>
        <v>812</v>
      </c>
      <c r="D100" s="7">
        <f t="shared" si="7"/>
        <v>900</v>
      </c>
      <c r="E100" s="7">
        <f t="shared" si="7"/>
        <v>730800</v>
      </c>
    </row>
    <row r="101" spans="1:5">
      <c r="A101" s="8">
        <v>10106.4545454545</v>
      </c>
      <c r="B101" s="7" t="str">
        <f t="shared" si="8"/>
        <v>Raghav Sethi</v>
      </c>
      <c r="C101" s="7">
        <f t="shared" si="7"/>
        <v>108</v>
      </c>
      <c r="D101" s="7">
        <f t="shared" si="7"/>
        <v>600</v>
      </c>
      <c r="E101" s="7">
        <f t="shared" si="7"/>
        <v>64800</v>
      </c>
    </row>
    <row r="102" spans="1:5">
      <c r="A102" s="8">
        <v>10859.915151515201</v>
      </c>
      <c r="B102" s="7" t="str">
        <f t="shared" si="8"/>
        <v>Naina Choudhary</v>
      </c>
      <c r="C102" s="7">
        <f t="shared" si="7"/>
        <v>305</v>
      </c>
      <c r="D102" s="7">
        <f t="shared" si="7"/>
        <v>450</v>
      </c>
      <c r="E102" s="7">
        <f t="shared" si="7"/>
        <v>137250</v>
      </c>
    </row>
    <row r="103" spans="1:5">
      <c r="A103" s="8">
        <v>10854</v>
      </c>
      <c r="B103" s="7" t="str">
        <f t="shared" si="8"/>
        <v>Yash Thakur</v>
      </c>
      <c r="C103" s="7">
        <f t="shared" si="7"/>
        <v>902</v>
      </c>
      <c r="D103" s="7">
        <f t="shared" si="7"/>
        <v>360</v>
      </c>
      <c r="E103" s="7">
        <f t="shared" si="7"/>
        <v>324720</v>
      </c>
    </row>
    <row r="104" spans="1:5">
      <c r="A104" s="8">
        <v>1345</v>
      </c>
      <c r="B104" s="7" t="str">
        <f t="shared" si="8"/>
        <v>Saakshi Saxena</v>
      </c>
      <c r="C104" s="7">
        <f t="shared" si="7"/>
        <v>900</v>
      </c>
      <c r="D104" s="7">
        <f t="shared" si="7"/>
        <v>730</v>
      </c>
      <c r="E104" s="7">
        <f t="shared" si="7"/>
        <v>657000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I53"/>
  <sheetViews>
    <sheetView topLeftCell="A6" workbookViewId="0">
      <selection activeCell="G23" sqref="G23"/>
    </sheetView>
  </sheetViews>
  <sheetFormatPr defaultRowHeight="15"/>
  <cols>
    <col min="1" max="1" width="45" customWidth="1"/>
    <col min="2" max="2" width="20.5703125" customWidth="1"/>
    <col min="3" max="3" width="17.5703125" customWidth="1"/>
    <col min="4" max="4" width="16.7109375" bestFit="1" customWidth="1"/>
    <col min="5" max="5" width="14.28515625" bestFit="1" customWidth="1"/>
    <col min="6" max="6" width="20.85546875" bestFit="1" customWidth="1"/>
    <col min="7" max="7" width="16.28515625" bestFit="1" customWidth="1"/>
    <col min="8" max="8" width="15.7109375" bestFit="1" customWidth="1"/>
  </cols>
  <sheetData>
    <row r="2" spans="1:6" ht="15.75">
      <c r="A2" s="1" t="s">
        <v>0</v>
      </c>
      <c r="B2" s="1" t="s">
        <v>9</v>
      </c>
      <c r="C2" s="1" t="s">
        <v>10</v>
      </c>
      <c r="D2" s="1" t="s">
        <v>11</v>
      </c>
      <c r="E2" s="1" t="s">
        <v>16</v>
      </c>
      <c r="F2" s="14" t="s">
        <v>96</v>
      </c>
    </row>
    <row r="3" spans="1:6" ht="15.75">
      <c r="A3" s="2" t="s">
        <v>6</v>
      </c>
      <c r="B3" s="2">
        <v>120</v>
      </c>
      <c r="C3" s="2">
        <v>150</v>
      </c>
      <c r="D3" s="2" t="s">
        <v>12</v>
      </c>
      <c r="E3" s="2">
        <v>10</v>
      </c>
      <c r="F3" s="2" t="s">
        <v>74</v>
      </c>
    </row>
    <row r="4" spans="1:6" ht="15.75">
      <c r="A4" s="2" t="s">
        <v>1</v>
      </c>
      <c r="B4" s="2">
        <v>90</v>
      </c>
      <c r="C4" s="2">
        <v>110</v>
      </c>
      <c r="D4" s="2" t="s">
        <v>13</v>
      </c>
      <c r="E4" s="2">
        <v>5</v>
      </c>
      <c r="F4" s="2" t="s">
        <v>75</v>
      </c>
    </row>
    <row r="5" spans="1:6" ht="15.75">
      <c r="A5" s="2" t="s">
        <v>2</v>
      </c>
      <c r="B5" s="2">
        <v>75</v>
      </c>
      <c r="C5" s="2">
        <v>95</v>
      </c>
      <c r="D5" s="2" t="s">
        <v>17</v>
      </c>
      <c r="E5" s="2">
        <v>3</v>
      </c>
      <c r="F5" s="2" t="s">
        <v>76</v>
      </c>
    </row>
    <row r="6" spans="1:6" ht="15.75">
      <c r="A6" s="2" t="s">
        <v>7</v>
      </c>
      <c r="B6" s="2">
        <v>60</v>
      </c>
      <c r="C6" s="2">
        <v>80</v>
      </c>
      <c r="D6" s="2" t="s">
        <v>15</v>
      </c>
      <c r="E6" s="2">
        <v>7</v>
      </c>
      <c r="F6" s="2" t="s">
        <v>77</v>
      </c>
    </row>
    <row r="7" spans="1:6" ht="15.75">
      <c r="A7" s="2" t="s">
        <v>3</v>
      </c>
      <c r="B7" s="2">
        <v>130</v>
      </c>
      <c r="C7" s="2">
        <v>160</v>
      </c>
      <c r="D7" s="2" t="s">
        <v>12</v>
      </c>
      <c r="E7" s="2">
        <v>25</v>
      </c>
      <c r="F7" s="2" t="s">
        <v>78</v>
      </c>
    </row>
    <row r="8" spans="1:6" ht="15.75">
      <c r="A8" s="2" t="s">
        <v>4</v>
      </c>
      <c r="B8" s="2">
        <v>95</v>
      </c>
      <c r="C8" s="2">
        <v>105</v>
      </c>
      <c r="D8" s="2" t="s">
        <v>13</v>
      </c>
      <c r="E8" s="2">
        <v>12</v>
      </c>
      <c r="F8" s="2" t="s">
        <v>79</v>
      </c>
    </row>
    <row r="9" spans="1:6" ht="15.75">
      <c r="A9" s="2" t="s">
        <v>8</v>
      </c>
      <c r="B9" s="2">
        <v>80</v>
      </c>
      <c r="C9" s="2">
        <v>100</v>
      </c>
      <c r="D9" s="2" t="s">
        <v>14</v>
      </c>
      <c r="E9" s="2">
        <v>15</v>
      </c>
      <c r="F9" s="2" t="s">
        <v>80</v>
      </c>
    </row>
    <row r="10" spans="1:6" ht="15.75">
      <c r="A10" s="2" t="s">
        <v>5</v>
      </c>
      <c r="B10" s="2">
        <v>70</v>
      </c>
      <c r="C10" s="2">
        <v>90</v>
      </c>
      <c r="D10" s="2" t="s">
        <v>15</v>
      </c>
      <c r="E10" s="2">
        <v>30</v>
      </c>
      <c r="F10" s="2" t="s">
        <v>81</v>
      </c>
    </row>
    <row r="11" spans="1:6">
      <c r="F11" s="15"/>
    </row>
    <row r="12" spans="1:6">
      <c r="F12" s="15"/>
    </row>
    <row r="13" spans="1:6" ht="15.75">
      <c r="A13" s="13" t="s">
        <v>94</v>
      </c>
      <c r="F13" s="15"/>
    </row>
    <row r="14" spans="1:6" ht="15.75">
      <c r="A14" s="1" t="s">
        <v>0</v>
      </c>
      <c r="B14" s="1" t="s">
        <v>9</v>
      </c>
      <c r="C14" s="1" t="s">
        <v>10</v>
      </c>
      <c r="D14" s="1" t="s">
        <v>11</v>
      </c>
      <c r="E14" s="1" t="s">
        <v>16</v>
      </c>
      <c r="F14" s="14" t="s">
        <v>96</v>
      </c>
    </row>
    <row r="15" spans="1:6" ht="15.75">
      <c r="A15" s="2" t="s">
        <v>6</v>
      </c>
      <c r="B15" s="2">
        <f>VLOOKUP($A15,$A$2:$F$10,MATCH(B$14,$A$2:$F$2,0),0)</f>
        <v>120</v>
      </c>
      <c r="C15" s="2">
        <f t="shared" ref="C15:F22" si="0">VLOOKUP($A15,$A$2:$F$10,MATCH(C$14,$A$2:$F$2,0),0)</f>
        <v>150</v>
      </c>
      <c r="D15" s="2" t="str">
        <f t="shared" si="0"/>
        <v>North</v>
      </c>
      <c r="E15" s="2">
        <f t="shared" si="0"/>
        <v>10</v>
      </c>
      <c r="F15" s="2" t="str">
        <f t="shared" si="0"/>
        <v>Aarav Mehta</v>
      </c>
    </row>
    <row r="16" spans="1:6" ht="15.75">
      <c r="A16" s="2" t="s">
        <v>1</v>
      </c>
      <c r="B16" s="2">
        <f t="shared" ref="B16:B22" si="1">VLOOKUP($A16,$A$2:$F$10,MATCH(B$14,$A$2:$F$2,0),0)</f>
        <v>90</v>
      </c>
      <c r="C16" s="2">
        <f t="shared" si="0"/>
        <v>110</v>
      </c>
      <c r="D16" s="2" t="str">
        <f t="shared" si="0"/>
        <v>South</v>
      </c>
      <c r="E16" s="2">
        <f t="shared" si="0"/>
        <v>5</v>
      </c>
      <c r="F16" s="2" t="str">
        <f t="shared" si="0"/>
        <v>Riya Kapoor</v>
      </c>
    </row>
    <row r="17" spans="1:6" ht="15.75">
      <c r="A17" s="2" t="s">
        <v>2</v>
      </c>
      <c r="B17" s="2">
        <f t="shared" si="1"/>
        <v>75</v>
      </c>
      <c r="C17" s="2">
        <f t="shared" si="0"/>
        <v>95</v>
      </c>
      <c r="D17" s="2" t="str">
        <f t="shared" si="0"/>
        <v>east</v>
      </c>
      <c r="E17" s="2">
        <f t="shared" si="0"/>
        <v>3</v>
      </c>
      <c r="F17" s="2" t="str">
        <f t="shared" si="0"/>
        <v>Kabir Sharma</v>
      </c>
    </row>
    <row r="18" spans="1:6" ht="15.75">
      <c r="A18" s="2" t="s">
        <v>7</v>
      </c>
      <c r="B18" s="2">
        <f t="shared" si="1"/>
        <v>60</v>
      </c>
      <c r="C18" s="2">
        <f t="shared" si="0"/>
        <v>80</v>
      </c>
      <c r="D18" s="2" t="str">
        <f t="shared" si="0"/>
        <v>West</v>
      </c>
      <c r="E18" s="2">
        <f t="shared" si="0"/>
        <v>7</v>
      </c>
      <c r="F18" s="2" t="str">
        <f t="shared" si="0"/>
        <v>Isha Verma</v>
      </c>
    </row>
    <row r="19" spans="1:6" ht="15.75">
      <c r="A19" s="2" t="s">
        <v>3</v>
      </c>
      <c r="B19" s="2">
        <f t="shared" si="1"/>
        <v>130</v>
      </c>
      <c r="C19" s="2">
        <f t="shared" si="0"/>
        <v>160</v>
      </c>
      <c r="D19" s="2" t="str">
        <f t="shared" si="0"/>
        <v>North</v>
      </c>
      <c r="E19" s="2">
        <f t="shared" si="0"/>
        <v>25</v>
      </c>
      <c r="F19" s="2" t="str">
        <f t="shared" si="0"/>
        <v>Devansh Patel</v>
      </c>
    </row>
    <row r="20" spans="1:6" ht="15.75">
      <c r="A20" s="2" t="s">
        <v>4</v>
      </c>
      <c r="B20" s="2">
        <f t="shared" si="1"/>
        <v>95</v>
      </c>
      <c r="C20" s="2">
        <f t="shared" si="0"/>
        <v>105</v>
      </c>
      <c r="D20" s="2" t="str">
        <f t="shared" si="0"/>
        <v>South</v>
      </c>
      <c r="E20" s="2">
        <f t="shared" si="0"/>
        <v>12</v>
      </c>
      <c r="F20" s="2" t="str">
        <f t="shared" si="0"/>
        <v>Tanya Bansal</v>
      </c>
    </row>
    <row r="21" spans="1:6" ht="15.75">
      <c r="A21" s="2" t="s">
        <v>8</v>
      </c>
      <c r="B21" s="2">
        <f t="shared" si="1"/>
        <v>80</v>
      </c>
      <c r="C21" s="2">
        <f t="shared" si="0"/>
        <v>100</v>
      </c>
      <c r="D21" s="2" t="str">
        <f t="shared" si="0"/>
        <v>East</v>
      </c>
      <c r="E21" s="2">
        <f t="shared" si="0"/>
        <v>15</v>
      </c>
      <c r="F21" s="2" t="str">
        <f t="shared" si="0"/>
        <v>Neel Khanna</v>
      </c>
    </row>
    <row r="22" spans="1:6" ht="15.75">
      <c r="A22" s="2" t="s">
        <v>5</v>
      </c>
      <c r="B22" s="2">
        <f t="shared" si="1"/>
        <v>70</v>
      </c>
      <c r="C22" s="2">
        <f t="shared" si="0"/>
        <v>90</v>
      </c>
      <c r="D22" s="2" t="str">
        <f t="shared" si="0"/>
        <v>West</v>
      </c>
      <c r="E22" s="2">
        <f t="shared" si="0"/>
        <v>30</v>
      </c>
      <c r="F22" s="2" t="str">
        <f t="shared" si="0"/>
        <v>Meera Singh</v>
      </c>
    </row>
    <row r="24" spans="1:6" ht="15.75">
      <c r="A24" s="13" t="s">
        <v>95</v>
      </c>
    </row>
    <row r="25" spans="1:6" ht="15.75">
      <c r="A25" s="14" t="s">
        <v>96</v>
      </c>
      <c r="B25" s="1" t="s">
        <v>0</v>
      </c>
      <c r="C25" s="1" t="s">
        <v>9</v>
      </c>
      <c r="D25" s="1" t="s">
        <v>10</v>
      </c>
      <c r="E25" s="1" t="s">
        <v>11</v>
      </c>
      <c r="F25" s="1" t="s">
        <v>16</v>
      </c>
    </row>
    <row r="26" spans="1:6" ht="15.75">
      <c r="A26" s="2" t="s">
        <v>74</v>
      </c>
      <c r="B26" s="2" t="str">
        <f>INDEX($A$2:$F$10,MATCH($A26,$F$2:$F$10,0),MATCH(B$25,$A$2:$F$2,0))</f>
        <v xml:space="preserve">pen </v>
      </c>
      <c r="C26" s="2">
        <f t="shared" ref="C26:F34" si="2">INDEX($A$2:$F$10,MATCH($A26,$F$2:$F$10,0),MATCH(C$25,$A$2:$F$2,0))</f>
        <v>120</v>
      </c>
      <c r="D26" s="2">
        <f t="shared" si="2"/>
        <v>150</v>
      </c>
      <c r="E26" s="2" t="str">
        <f t="shared" si="2"/>
        <v>North</v>
      </c>
      <c r="F26" s="2">
        <f t="shared" si="2"/>
        <v>10</v>
      </c>
    </row>
    <row r="27" spans="1:6" ht="15.75">
      <c r="A27" s="2" t="s">
        <v>75</v>
      </c>
      <c r="B27" s="2" t="str">
        <f t="shared" ref="B27:B34" si="3">INDEX($A$2:$F$10,MATCH($A27,$F$2:$F$10,0),MATCH(B$25,$A$2:$F$2,0))</f>
        <v>Pencil</v>
      </c>
      <c r="C27" s="2">
        <f t="shared" si="2"/>
        <v>90</v>
      </c>
      <c r="D27" s="2">
        <f t="shared" si="2"/>
        <v>110</v>
      </c>
      <c r="E27" s="2" t="str">
        <f t="shared" si="2"/>
        <v>South</v>
      </c>
      <c r="F27" s="2">
        <f t="shared" si="2"/>
        <v>5</v>
      </c>
    </row>
    <row r="28" spans="1:6" ht="15.75">
      <c r="A28" s="2" t="s">
        <v>76</v>
      </c>
      <c r="B28" s="2" t="str">
        <f t="shared" si="3"/>
        <v>Eraser</v>
      </c>
      <c r="C28" s="2">
        <f t="shared" si="2"/>
        <v>75</v>
      </c>
      <c r="D28" s="2">
        <f t="shared" si="2"/>
        <v>95</v>
      </c>
      <c r="E28" s="2" t="str">
        <f t="shared" si="2"/>
        <v>east</v>
      </c>
      <c r="F28" s="2">
        <f t="shared" si="2"/>
        <v>3</v>
      </c>
    </row>
    <row r="29" spans="1:6" ht="15.75">
      <c r="A29" s="2" t="s">
        <v>77</v>
      </c>
      <c r="B29" s="2" t="str">
        <f t="shared" si="3"/>
        <v>Sharpner</v>
      </c>
      <c r="C29" s="2">
        <f t="shared" si="2"/>
        <v>60</v>
      </c>
      <c r="D29" s="2">
        <f t="shared" si="2"/>
        <v>80</v>
      </c>
      <c r="E29" s="2" t="str">
        <f t="shared" si="2"/>
        <v>West</v>
      </c>
      <c r="F29" s="2">
        <f t="shared" si="2"/>
        <v>7</v>
      </c>
    </row>
    <row r="30" spans="1:6" ht="15.75">
      <c r="A30" s="2" t="s">
        <v>78</v>
      </c>
      <c r="B30" s="2" t="str">
        <f t="shared" si="3"/>
        <v>Notebook</v>
      </c>
      <c r="C30" s="2">
        <f t="shared" si="2"/>
        <v>130</v>
      </c>
      <c r="D30" s="2">
        <f t="shared" si="2"/>
        <v>160</v>
      </c>
      <c r="E30" s="2" t="str">
        <f t="shared" si="2"/>
        <v>North</v>
      </c>
      <c r="F30" s="2">
        <f t="shared" si="2"/>
        <v>25</v>
      </c>
    </row>
    <row r="31" spans="1:6" ht="15.75">
      <c r="A31" s="2" t="s">
        <v>79</v>
      </c>
      <c r="B31" s="2" t="str">
        <f t="shared" si="3"/>
        <v>Marker</v>
      </c>
      <c r="C31" s="2">
        <f t="shared" si="2"/>
        <v>95</v>
      </c>
      <c r="D31" s="2">
        <f t="shared" si="2"/>
        <v>105</v>
      </c>
      <c r="E31" s="2" t="str">
        <f t="shared" si="2"/>
        <v>South</v>
      </c>
      <c r="F31" s="2">
        <f t="shared" si="2"/>
        <v>12</v>
      </c>
    </row>
    <row r="32" spans="1:6" ht="15.75">
      <c r="A32" s="2" t="s">
        <v>80</v>
      </c>
      <c r="B32" s="2" t="str">
        <f t="shared" si="3"/>
        <v xml:space="preserve">Crayon </v>
      </c>
      <c r="C32" s="2">
        <f t="shared" si="2"/>
        <v>80</v>
      </c>
      <c r="D32" s="2">
        <f t="shared" si="2"/>
        <v>100</v>
      </c>
      <c r="E32" s="2" t="str">
        <f t="shared" si="2"/>
        <v>East</v>
      </c>
      <c r="F32" s="2">
        <f t="shared" si="2"/>
        <v>15</v>
      </c>
    </row>
    <row r="33" spans="1:9" ht="15.75">
      <c r="A33" s="2" t="s">
        <v>81</v>
      </c>
      <c r="B33" s="2" t="str">
        <f t="shared" si="3"/>
        <v>Sketchpad</v>
      </c>
      <c r="C33" s="2">
        <f t="shared" si="2"/>
        <v>70</v>
      </c>
      <c r="D33" s="2">
        <f t="shared" si="2"/>
        <v>90</v>
      </c>
      <c r="E33" s="2" t="str">
        <f t="shared" si="2"/>
        <v>West</v>
      </c>
      <c r="F33" s="2">
        <f t="shared" si="2"/>
        <v>30</v>
      </c>
    </row>
    <row r="37" spans="1:9" ht="15.75">
      <c r="A37" s="1" t="s">
        <v>0</v>
      </c>
      <c r="B37" s="2" t="s">
        <v>6</v>
      </c>
      <c r="C37" s="2" t="s">
        <v>1</v>
      </c>
      <c r="D37" s="2" t="s">
        <v>2</v>
      </c>
      <c r="E37" s="2" t="s">
        <v>7</v>
      </c>
      <c r="F37" s="2" t="s">
        <v>3</v>
      </c>
      <c r="G37" s="2" t="s">
        <v>4</v>
      </c>
      <c r="H37" s="2" t="s">
        <v>8</v>
      </c>
      <c r="I37" s="2" t="s">
        <v>5</v>
      </c>
    </row>
    <row r="38" spans="1:9" ht="15.75">
      <c r="A38" s="1" t="s">
        <v>9</v>
      </c>
      <c r="B38" s="2">
        <v>120</v>
      </c>
      <c r="C38" s="2">
        <v>90</v>
      </c>
      <c r="D38" s="2">
        <v>75</v>
      </c>
      <c r="E38" s="2">
        <v>60</v>
      </c>
      <c r="F38" s="2">
        <v>130</v>
      </c>
      <c r="G38" s="2">
        <v>95</v>
      </c>
      <c r="H38" s="2">
        <v>80</v>
      </c>
      <c r="I38" s="2">
        <v>70</v>
      </c>
    </row>
    <row r="39" spans="1:9" ht="15.75">
      <c r="A39" s="1" t="s">
        <v>10</v>
      </c>
      <c r="B39" s="2">
        <v>150</v>
      </c>
      <c r="C39" s="2">
        <v>110</v>
      </c>
      <c r="D39" s="2">
        <v>95</v>
      </c>
      <c r="E39" s="2">
        <v>80</v>
      </c>
      <c r="F39" s="2">
        <v>160</v>
      </c>
      <c r="G39" s="2">
        <v>105</v>
      </c>
      <c r="H39" s="2">
        <v>100</v>
      </c>
      <c r="I39" s="2">
        <v>90</v>
      </c>
    </row>
    <row r="40" spans="1:9" ht="15.75">
      <c r="A40" s="1" t="s">
        <v>11</v>
      </c>
      <c r="B40" s="2" t="s">
        <v>12</v>
      </c>
      <c r="C40" s="2" t="s">
        <v>13</v>
      </c>
      <c r="D40" s="2" t="s">
        <v>17</v>
      </c>
      <c r="E40" s="2" t="s">
        <v>15</v>
      </c>
      <c r="F40" s="2" t="s">
        <v>12</v>
      </c>
      <c r="G40" s="2" t="s">
        <v>13</v>
      </c>
      <c r="H40" s="2" t="s">
        <v>14</v>
      </c>
      <c r="I40" s="2" t="s">
        <v>15</v>
      </c>
    </row>
    <row r="41" spans="1:9" ht="15.75">
      <c r="A41" s="1" t="s">
        <v>16</v>
      </c>
      <c r="B41" s="2">
        <v>10</v>
      </c>
      <c r="C41" s="2">
        <v>5</v>
      </c>
      <c r="D41" s="2">
        <v>3</v>
      </c>
      <c r="E41" s="2">
        <v>7</v>
      </c>
      <c r="F41" s="2">
        <v>25</v>
      </c>
      <c r="G41" s="2">
        <v>12</v>
      </c>
      <c r="H41" s="2">
        <v>15</v>
      </c>
      <c r="I41" s="2">
        <v>30</v>
      </c>
    </row>
    <row r="42" spans="1:9" ht="15.75">
      <c r="A42" s="14" t="s">
        <v>96</v>
      </c>
      <c r="B42" s="2" t="s">
        <v>74</v>
      </c>
      <c r="C42" s="2" t="s">
        <v>75</v>
      </c>
      <c r="D42" s="2" t="s">
        <v>76</v>
      </c>
      <c r="E42" s="2" t="s">
        <v>77</v>
      </c>
      <c r="F42" s="2" t="s">
        <v>78</v>
      </c>
      <c r="G42" s="2" t="s">
        <v>79</v>
      </c>
      <c r="H42" s="2" t="s">
        <v>80</v>
      </c>
      <c r="I42" s="2" t="s">
        <v>81</v>
      </c>
    </row>
    <row r="44" spans="1:9" ht="15.75">
      <c r="A44" s="13" t="s">
        <v>97</v>
      </c>
    </row>
    <row r="45" spans="1:9" ht="15.75">
      <c r="A45" s="1" t="s">
        <v>0</v>
      </c>
      <c r="B45" s="1" t="s">
        <v>9</v>
      </c>
      <c r="C45" s="1" t="s">
        <v>10</v>
      </c>
      <c r="D45" s="1" t="s">
        <v>11</v>
      </c>
      <c r="E45" s="1" t="s">
        <v>16</v>
      </c>
      <c r="F45" s="14" t="s">
        <v>96</v>
      </c>
    </row>
    <row r="46" spans="1:9" ht="15.75">
      <c r="A46" s="2" t="s">
        <v>6</v>
      </c>
      <c r="B46" s="2">
        <f>HLOOKUP($A46,$A$37:$I$42,MATCH(B$45,$A$37:$A$42,0),0)</f>
        <v>120</v>
      </c>
      <c r="C46" s="2">
        <f t="shared" ref="C46:F53" si="4">HLOOKUP($A46,$A$37:$I$42,MATCH(C$45,$A$37:$A$42,0),0)</f>
        <v>150</v>
      </c>
      <c r="D46" s="2" t="str">
        <f t="shared" si="4"/>
        <v>North</v>
      </c>
      <c r="E46" s="2">
        <f t="shared" si="4"/>
        <v>10</v>
      </c>
      <c r="F46" s="2" t="str">
        <f t="shared" si="4"/>
        <v>Aarav Mehta</v>
      </c>
    </row>
    <row r="47" spans="1:9" ht="15.75">
      <c r="A47" s="2" t="s">
        <v>1</v>
      </c>
      <c r="B47" s="2">
        <f t="shared" ref="B47:B53" si="5">HLOOKUP($A47,$A$37:$I$42,MATCH(B$45,$A$37:$A$42,0),0)</f>
        <v>90</v>
      </c>
      <c r="C47" s="2">
        <f t="shared" si="4"/>
        <v>110</v>
      </c>
      <c r="D47" s="2" t="str">
        <f t="shared" si="4"/>
        <v>South</v>
      </c>
      <c r="E47" s="2">
        <f t="shared" si="4"/>
        <v>5</v>
      </c>
      <c r="F47" s="2" t="str">
        <f t="shared" si="4"/>
        <v>Riya Kapoor</v>
      </c>
    </row>
    <row r="48" spans="1:9" ht="15.75">
      <c r="A48" s="2" t="s">
        <v>2</v>
      </c>
      <c r="B48" s="2">
        <f t="shared" si="5"/>
        <v>75</v>
      </c>
      <c r="C48" s="2">
        <f t="shared" si="4"/>
        <v>95</v>
      </c>
      <c r="D48" s="2" t="str">
        <f t="shared" si="4"/>
        <v>east</v>
      </c>
      <c r="E48" s="2">
        <f t="shared" si="4"/>
        <v>3</v>
      </c>
      <c r="F48" s="2" t="str">
        <f t="shared" si="4"/>
        <v>Kabir Sharma</v>
      </c>
    </row>
    <row r="49" spans="1:6" ht="15.75">
      <c r="A49" s="2" t="s">
        <v>7</v>
      </c>
      <c r="B49" s="2">
        <f t="shared" si="5"/>
        <v>60</v>
      </c>
      <c r="C49" s="2">
        <f t="shared" si="4"/>
        <v>80</v>
      </c>
      <c r="D49" s="2" t="str">
        <f t="shared" si="4"/>
        <v>West</v>
      </c>
      <c r="E49" s="2">
        <f t="shared" si="4"/>
        <v>7</v>
      </c>
      <c r="F49" s="2" t="str">
        <f t="shared" si="4"/>
        <v>Isha Verma</v>
      </c>
    </row>
    <row r="50" spans="1:6" ht="15.75">
      <c r="A50" s="2" t="s">
        <v>3</v>
      </c>
      <c r="B50" s="2">
        <f t="shared" si="5"/>
        <v>130</v>
      </c>
      <c r="C50" s="2">
        <f t="shared" si="4"/>
        <v>160</v>
      </c>
      <c r="D50" s="2" t="str">
        <f t="shared" si="4"/>
        <v>North</v>
      </c>
      <c r="E50" s="2">
        <f t="shared" si="4"/>
        <v>25</v>
      </c>
      <c r="F50" s="2" t="str">
        <f t="shared" si="4"/>
        <v>Devansh Patel</v>
      </c>
    </row>
    <row r="51" spans="1:6" ht="15.75">
      <c r="A51" s="2" t="s">
        <v>4</v>
      </c>
      <c r="B51" s="2">
        <f t="shared" si="5"/>
        <v>95</v>
      </c>
      <c r="C51" s="2">
        <f t="shared" si="4"/>
        <v>105</v>
      </c>
      <c r="D51" s="2" t="str">
        <f t="shared" si="4"/>
        <v>South</v>
      </c>
      <c r="E51" s="2">
        <f t="shared" si="4"/>
        <v>12</v>
      </c>
      <c r="F51" s="2" t="str">
        <f t="shared" si="4"/>
        <v>Tanya Bansal</v>
      </c>
    </row>
    <row r="52" spans="1:6" ht="15.75">
      <c r="A52" s="2" t="s">
        <v>8</v>
      </c>
      <c r="B52" s="2">
        <f t="shared" si="5"/>
        <v>80</v>
      </c>
      <c r="C52" s="2">
        <f t="shared" si="4"/>
        <v>100</v>
      </c>
      <c r="D52" s="2" t="str">
        <f t="shared" si="4"/>
        <v>East</v>
      </c>
      <c r="E52" s="2">
        <f t="shared" si="4"/>
        <v>15</v>
      </c>
      <c r="F52" s="2" t="str">
        <f t="shared" si="4"/>
        <v>Neel Khanna</v>
      </c>
    </row>
    <row r="53" spans="1:6" ht="15.75">
      <c r="A53" s="2" t="s">
        <v>5</v>
      </c>
      <c r="B53" s="2">
        <f t="shared" si="5"/>
        <v>70</v>
      </c>
      <c r="C53" s="2">
        <f t="shared" si="4"/>
        <v>90</v>
      </c>
      <c r="D53" s="2" t="str">
        <f t="shared" si="4"/>
        <v>West</v>
      </c>
      <c r="E53" s="2">
        <f t="shared" si="4"/>
        <v>30</v>
      </c>
      <c r="F53" s="2" t="str">
        <f t="shared" si="4"/>
        <v>Meera Singh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Name Ranges</vt:lpstr>
      <vt:lpstr>Usefulness</vt:lpstr>
      <vt:lpstr>Name Ranges+ other functions</vt:lpstr>
      <vt:lpstr>Practice_Name Ranges</vt:lpstr>
      <vt:lpstr>Practice</vt:lpstr>
      <vt:lpstr>Customer</vt:lpstr>
      <vt:lpstr>Order</vt:lpstr>
      <vt:lpstr>Price</vt:lpstr>
      <vt:lpstr>Price_per_unit</vt:lpstr>
      <vt:lpstr>Quantity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Saxena</dc:creator>
  <cp:lastModifiedBy>comp</cp:lastModifiedBy>
  <dcterms:created xsi:type="dcterms:W3CDTF">2025-11-04T00:02:56Z</dcterms:created>
  <dcterms:modified xsi:type="dcterms:W3CDTF">2025-11-05T05:46:47Z</dcterms:modified>
</cp:coreProperties>
</file>