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activeTab="5"/>
  </bookViews>
  <sheets>
    <sheet name="Sales Report" sheetId="7" r:id="rId1"/>
    <sheet name="Data Validation" sheetId="2" r:id="rId2"/>
    <sheet name="Sum" sheetId="3" r:id="rId3"/>
    <sheet name="Count" sheetId="4" r:id="rId4"/>
    <sheet name="Average" sheetId="5" r:id="rId5"/>
    <sheet name="Practice Question " sheetId="6" r:id="rId6"/>
  </sheets>
  <externalReferences>
    <externalReference r:id="rId7"/>
    <externalReference r:id="rId8"/>
    <externalReference r:id="rId9"/>
    <externalReference r:id="rId10"/>
  </externalReferences>
  <definedNames>
    <definedName name="_xlnm._FilterDatabase" localSheetId="0" hidden="1">'Sales Report'!$A$1:$AF$25</definedName>
    <definedName name="Amt">'[1]Name Ranges'!$D$10:$D$29</definedName>
    <definedName name="Cat">'[1]Name Ranges'!$C$10:$C$29</definedName>
    <definedName name="item_list">'[1]Name Ranges'!$B$9:$D$29</definedName>
    <definedName name="List1">OFFSET('[1]Dynamic Name range'!$D$27,0,0,COUNTA('[1]Dynamic Name range'!$D$27:$D$101),1)</definedName>
    <definedName name="List2">'[1]Dynamic Name range'!$D$28:INDEX('[1]Dynamic Name range'!$D$28:$D$101,COUNTA('[1]Dynamic Name range'!$D:$D))</definedName>
    <definedName name="No._of_Trades">#REF!:INDEX(#REF!,COUNTA(#REF!))</definedName>
    <definedName name="No.ofsharestraded" localSheetId="0">'[2]MATCH &amp; INDEX'!$H$5:$H$23</definedName>
    <definedName name="No.ofsharestraded">'[3]MATCH &amp; INDEX'!$H$5:$H$23</definedName>
    <definedName name="Salesquarter1">#REF!</definedName>
    <definedName name="Sharesheet">OFFSET([4]OFFSET!$A$22,,,COUNTA([4]OFFSET!$A:$A),COUNTA([4]OFFSET!$22:$22))</definedName>
    <definedName name="Traded_Contract__Lots">OFFSET('[1]Dynamic Name range'!$C$56,0,0,COUNTA('[1]Dynamic Name range'!$C$56:$C$100),1)</definedName>
    <definedName name="X">OFFSET([1]OFFSET!$D$23,0,0,COUNTA([1]OFFSET!$D$23:$D$99),1)</definedName>
  </definedNames>
  <calcPr calcId="12451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5" i="5"/>
  <c r="E74"/>
  <c r="E73"/>
  <c r="A145" i="4"/>
  <c r="A142"/>
  <c r="A34" i="6"/>
  <c r="A26"/>
  <c r="B31"/>
  <c r="B30"/>
  <c r="B29"/>
  <c r="A9"/>
  <c r="A3"/>
  <c r="A23"/>
  <c r="B19"/>
  <c r="B20"/>
  <c r="B18"/>
  <c r="T3" i="7"/>
  <c r="T4"/>
  <c r="T5"/>
  <c r="T6"/>
  <c r="T7"/>
  <c r="T8"/>
  <c r="T9"/>
  <c r="T10"/>
  <c r="T11"/>
  <c r="T12"/>
  <c r="T13"/>
  <c r="T14"/>
  <c r="T15"/>
  <c r="T16"/>
  <c r="T17"/>
  <c r="T18"/>
  <c r="T19"/>
  <c r="T20"/>
  <c r="T21"/>
  <c r="T22"/>
  <c r="T23"/>
  <c r="T24"/>
  <c r="T25"/>
  <c r="T2"/>
  <c r="A15" i="6"/>
  <c r="A12"/>
  <c r="A6"/>
  <c r="C73" i="5"/>
  <c r="C74"/>
  <c r="A115"/>
  <c r="A112"/>
  <c r="C75"/>
  <c r="A33"/>
  <c r="A69" i="4"/>
  <c r="A66"/>
  <c r="A35"/>
  <c r="A32"/>
  <c r="A106" i="3"/>
  <c r="A103"/>
  <c r="A64"/>
  <c r="A61"/>
  <c r="F26"/>
  <c r="E26"/>
  <c r="AF25" i="7" l="1"/>
  <c r="AF24"/>
  <c r="AF23"/>
  <c r="AF22"/>
  <c r="AF21"/>
  <c r="AF20"/>
  <c r="AF19"/>
  <c r="AF18"/>
  <c r="AF17"/>
  <c r="AF16"/>
  <c r="AF15"/>
  <c r="AF14"/>
  <c r="AF13"/>
  <c r="AF12"/>
  <c r="AF11"/>
  <c r="AF10"/>
  <c r="AF9"/>
  <c r="AF8"/>
  <c r="AF7"/>
  <c r="AF6"/>
  <c r="AF5"/>
  <c r="AF4"/>
  <c r="AF3"/>
  <c r="AF2"/>
</calcChain>
</file>

<file path=xl/sharedStrings.xml><?xml version="1.0" encoding="utf-8"?>
<sst xmlns="http://schemas.openxmlformats.org/spreadsheetml/2006/main" count="980" uniqueCount="329">
  <si>
    <t>Data Validation</t>
  </si>
  <si>
    <t>Data Validation in excel enables the user to restrict the kind of data that can be entered in to a certain cell or the range of cells.</t>
  </si>
  <si>
    <t>Data Validation allow users to restrict the input to:</t>
  </si>
  <si>
    <t>Only numeric or text values</t>
  </si>
  <si>
    <t>Only Numbers within a specified range</t>
  </si>
  <si>
    <t>Date and time within a specified time frame</t>
  </si>
  <si>
    <t>Specified entries from  the drop down list</t>
  </si>
  <si>
    <t>Data Validation can also-</t>
  </si>
  <si>
    <t>Show an input message when the user selects the cell</t>
  </si>
  <si>
    <t>Show a warning message when the incorrect data has been entered</t>
  </si>
  <si>
    <t>Find incorrect entries in validated cell</t>
  </si>
  <si>
    <t>How to do Data Validation in Excel?</t>
  </si>
  <si>
    <t>Select the cells or the range of cells where data validation has to be applied</t>
  </si>
  <si>
    <t>Go to Data tab &gt; Data Tools group &gt; Data Validation</t>
  </si>
  <si>
    <t>OR use this shot cut keys to open a Data Validation Dialogue Box</t>
  </si>
  <si>
    <t xml:space="preserve">Press ALT+D+L </t>
  </si>
  <si>
    <t>Create a Validation Rule</t>
  </si>
  <si>
    <t xml:space="preserve"> Go to settings and define the rule</t>
  </si>
  <si>
    <t>The user has the following eight options to choose from</t>
  </si>
  <si>
    <t>Any value</t>
  </si>
  <si>
    <t>Whole Number</t>
  </si>
  <si>
    <t xml:space="preserve">Decimal </t>
  </si>
  <si>
    <t>List</t>
  </si>
  <si>
    <t>Date</t>
  </si>
  <si>
    <t>Time</t>
  </si>
  <si>
    <t>Text Length</t>
  </si>
  <si>
    <t>Custom</t>
  </si>
  <si>
    <t>Example</t>
  </si>
  <si>
    <t>Row ID</t>
  </si>
  <si>
    <t>Order ID</t>
  </si>
  <si>
    <t>Order Date</t>
  </si>
  <si>
    <t>Ship Date</t>
  </si>
  <si>
    <t>Ship Mode</t>
  </si>
  <si>
    <t>Customer Name</t>
  </si>
  <si>
    <t>Segment</t>
  </si>
  <si>
    <t>CA-2016-159016</t>
  </si>
  <si>
    <t>First Class</t>
  </si>
  <si>
    <t>Karen Ferguson</t>
  </si>
  <si>
    <t>home office</t>
  </si>
  <si>
    <t>CA-2017-100111</t>
  </si>
  <si>
    <t>Standard Class</t>
  </si>
  <si>
    <t>Seth Vernon</t>
  </si>
  <si>
    <t>consumer</t>
  </si>
  <si>
    <t>CA-2015-135580</t>
  </si>
  <si>
    <t>Clay Ludtke</t>
  </si>
  <si>
    <t>corporate</t>
  </si>
  <si>
    <t>US-2016-113677</t>
  </si>
  <si>
    <t>Corinna Mitchell</t>
  </si>
  <si>
    <t>CA-2015-158421</t>
  </si>
  <si>
    <t>Giulietta Baptist</t>
  </si>
  <si>
    <t>CA-2016-124590</t>
  </si>
  <si>
    <t>Susan Pistek</t>
  </si>
  <si>
    <t>SUM</t>
  </si>
  <si>
    <t>It returns the sum of values given as arguments.</t>
  </si>
  <si>
    <t>Sum is the most popoular and commonly used function in Excel.</t>
  </si>
  <si>
    <t>Syntax</t>
  </si>
  <si>
    <t>SUM (number1, [number2], [number3], ...)</t>
  </si>
  <si>
    <t>number 1= first item to sum</t>
  </si>
  <si>
    <t>number 2 = second item to sum and so on</t>
  </si>
  <si>
    <t>Important</t>
  </si>
  <si>
    <t>The SUM function sums values supplied as arguments (up to 255 arguments).</t>
  </si>
  <si>
    <t>Arguments can be supplied as numbers, cell references, ranges, named ranges, constants, and the results of other formulas or functions.</t>
  </si>
  <si>
    <t>For example, SUM(C1:C3) adds all the numbers that are contained in cells C1 through C3, which is equivalent to SUM (C1, C2, C3)</t>
  </si>
  <si>
    <t>Product ID</t>
  </si>
  <si>
    <t>Category</t>
  </si>
  <si>
    <t>Sub-Category</t>
  </si>
  <si>
    <t>Product Name</t>
  </si>
  <si>
    <t>Sales</t>
  </si>
  <si>
    <t>Profit</t>
  </si>
  <si>
    <t>FUR-BO-10001798</t>
  </si>
  <si>
    <t>Furniture</t>
  </si>
  <si>
    <t>Bookcases</t>
  </si>
  <si>
    <t>Bush Somerset Collection Bookcase</t>
  </si>
  <si>
    <t>FUR-CH-10000454</t>
  </si>
  <si>
    <t>Chairs</t>
  </si>
  <si>
    <t>Hon Deluxe Fabric Upholstered Stacking Chairs, Rounded Back</t>
  </si>
  <si>
    <t>OFF-LA-10000240</t>
  </si>
  <si>
    <t>Office Supplies</t>
  </si>
  <si>
    <t>Labels</t>
  </si>
  <si>
    <t>Self-Adhesive Address Labels for Typewriters by Universal</t>
  </si>
  <si>
    <t>FUR-TA-10000577</t>
  </si>
  <si>
    <t>Tables</t>
  </si>
  <si>
    <t>Bretford CR4500 Series Slim Rectangular Table</t>
  </si>
  <si>
    <t>OFF-ST-10000760</t>
  </si>
  <si>
    <t>Storage</t>
  </si>
  <si>
    <t>Eldon Fold 'N Roll Cart System</t>
  </si>
  <si>
    <t>SUMIF</t>
  </si>
  <si>
    <t>The SUMIF function adds all numbers in a range of cells based on one criteria. The criteria can be applied to date,numbers and text.</t>
  </si>
  <si>
    <t>SUMIF (range, criteria, [sum_range])</t>
  </si>
  <si>
    <t>range - The range of cells that you want to apply the criteria against</t>
  </si>
  <si>
    <t>criteria - The critieria used to determine which cells to add.</t>
  </si>
  <si>
    <t>sum_range - [optional] The cells to add together . If sum_range is omitted , the cells in range are added together instead.</t>
  </si>
  <si>
    <t>When sum_range is omitted, the cells in range will be summed.</t>
  </si>
  <si>
    <t>Text criteria, or criteria that includes math symbols, must be enclosed in double quotation marks (").</t>
  </si>
  <si>
    <t>Numeric criteria can be supplied without quotation marks.</t>
  </si>
  <si>
    <t>CA-2016-152156</t>
  </si>
  <si>
    <t>CA-2016-138688</t>
  </si>
  <si>
    <t>US-2015-108966</t>
  </si>
  <si>
    <t>CA-2014-115812</t>
  </si>
  <si>
    <t>FUR-FU-10001487</t>
  </si>
  <si>
    <t>Furnishings</t>
  </si>
  <si>
    <t>OFF-AR-10002833</t>
  </si>
  <si>
    <t>Art</t>
  </si>
  <si>
    <t>TEC-PH-10002275</t>
  </si>
  <si>
    <t>Technology</t>
  </si>
  <si>
    <t>Phones</t>
  </si>
  <si>
    <t>OFF-BI-10003910</t>
  </si>
  <si>
    <t>Binders</t>
  </si>
  <si>
    <t>Calculate the total sales of furniture.</t>
  </si>
  <si>
    <t>Calculate the total sales for Office Supplies</t>
  </si>
  <si>
    <t>SUMIFS</t>
  </si>
  <si>
    <t>This function adds all numbers in a range of cells, based on a single or multiple criteria.</t>
  </si>
  <si>
    <t>SUMIFS can be used to sum values when adjacent cells meet criteria based on dates, numbers, and text</t>
  </si>
  <si>
    <t>SUMIFS (sum_range,criteria_range1,criteria 1, [criteria_range2,criteria2,] ...)</t>
  </si>
  <si>
    <t>sum_range - The range to be summed.</t>
  </si>
  <si>
    <t>range1 - The range to evaulate against criteria 1.</t>
  </si>
  <si>
    <t>criteria1 - The criteria to use on range1.</t>
  </si>
  <si>
    <t>range2 - [optional] The range to evaluate against criteria 2</t>
  </si>
  <si>
    <t>criteria2 - [optional] The criteria to use on range2</t>
  </si>
  <si>
    <t>Unlike the SUMIF function, SUMIFS can apply more than one set of criteria, with more than one range</t>
  </si>
  <si>
    <t>The order of arguments is different between the SUMIFS and SUMIF functions. Sum_range is the first argument in SUMIFS, but the third argument in SUMIF.</t>
  </si>
  <si>
    <t>Criteria_range 1, criteria_range 2,….. Must contain the same number of rows and columns as the sum_range arguments.</t>
  </si>
  <si>
    <t>CITY</t>
  </si>
  <si>
    <t>Henderson</t>
  </si>
  <si>
    <t>Los Angeles</t>
  </si>
  <si>
    <t>Fort Lauderdale</t>
  </si>
  <si>
    <t>Eldon Expressions Wood and Plastic Desk Accessories, Cherry Wood</t>
  </si>
  <si>
    <t>Newell 322</t>
  </si>
  <si>
    <t>Mitel 5320 IP Phone VoIP phone</t>
  </si>
  <si>
    <t>DXL Angle-View Binders with Locking Rings by Samsill</t>
  </si>
  <si>
    <t>Calculate the sales of furniture in the city of Los Angeles</t>
  </si>
  <si>
    <t>Calculate the sales of Office Supplies in the Los Angeles</t>
  </si>
  <si>
    <t>COUNT</t>
  </si>
  <si>
    <t>COUNT function counts the number of cells that contain numbers as well as the number of arguments that contain numbers.</t>
  </si>
  <si>
    <t>COUNT (argument 1, [argument 2], …argument_n)</t>
  </si>
  <si>
    <t>argument 1 - An item , cell reference, or range</t>
  </si>
  <si>
    <t>argument 2 - An item , cell reference, or range</t>
  </si>
  <si>
    <t>COUNT can handle up to 255 additional values.</t>
  </si>
  <si>
    <t>The logical values TRUE and FALSE are not counted.</t>
  </si>
  <si>
    <t>Empty cells and text are not counted.</t>
  </si>
  <si>
    <t>Customer</t>
  </si>
  <si>
    <t>Zuschuss Carroll</t>
  </si>
  <si>
    <t>Jim Radford</t>
  </si>
  <si>
    <t>Cyma Kinney</t>
  </si>
  <si>
    <t>Stefania Perrino</t>
  </si>
  <si>
    <t>Joel Eaton</t>
  </si>
  <si>
    <t>Rick Hansen</t>
  </si>
  <si>
    <t>Karen Daniels</t>
  </si>
  <si>
    <t>Adrian Barton</t>
  </si>
  <si>
    <t>Noel Staavos</t>
  </si>
  <si>
    <t>Calculate the number of orders placed</t>
  </si>
  <si>
    <t>Calculate the number of customers</t>
  </si>
  <si>
    <t>COUNTIF</t>
  </si>
  <si>
    <t>COUNTIF is a function to count cells that meet a single criteria. It can be applied to date,number and text.</t>
  </si>
  <si>
    <t>COUNTIF(range, criteria)</t>
  </si>
  <si>
    <t>range- defines one or several cells to count</t>
  </si>
  <si>
    <t>criteria- defines the condition.the function counts the cell where the condition is true.</t>
  </si>
  <si>
    <t>Calculate the total number of orders placed for furniture.</t>
  </si>
  <si>
    <t>Calculate the total number of orders placed for office supplies in Los Angeles</t>
  </si>
  <si>
    <t>COUNTA</t>
  </si>
  <si>
    <t>COUNTA function returns the count of VALUES that contain numbers, text, logical values, error values</t>
  </si>
  <si>
    <t>COUNTA does not count empty cells.</t>
  </si>
  <si>
    <t>COUNTA (value1, [value2], ...)</t>
  </si>
  <si>
    <t>value 1 - An item , cell reference, or range</t>
  </si>
  <si>
    <t>value2 - [optional] An item, cell reference, or range.</t>
  </si>
  <si>
    <t>If the argument is a range, each cell in the range that is not empty will be counted as 1.</t>
  </si>
  <si>
    <t>If the argument is a cell and the cell is not empty, it will be counted as 1.</t>
  </si>
  <si>
    <t>If the argument is a value and not a range or cell, it will be counted as 1.</t>
  </si>
  <si>
    <t>Examples</t>
  </si>
  <si>
    <t>COUNTBLANK</t>
  </si>
  <si>
    <t>COUNTBLANK function counts the number of empty cells in a range.</t>
  </si>
  <si>
    <t>The COUNTBLANK function returns a numeric value.</t>
  </si>
  <si>
    <t>COUNTBLANK( range )</t>
  </si>
  <si>
    <t>range - The range in which to count blank cells.</t>
  </si>
  <si>
    <t>Cells that contain text, numbers, errors, etc. are not counted.</t>
  </si>
  <si>
    <t>Formulas that return empty text ("") are considered blank and will be counted.</t>
  </si>
  <si>
    <t>Cells that contain zero are considered not blank and will not be counted.</t>
  </si>
  <si>
    <t>Calculate the number of days on which there were no orders placed.</t>
  </si>
  <si>
    <t>Count the number of days when no sales were made</t>
  </si>
  <si>
    <t>AVERAGE</t>
  </si>
  <si>
    <t>AVERAGE function returns the average (arithmetic mean) of the numbers provided</t>
  </si>
  <si>
    <t>Its purpose is to get the average of a group of numbers and it returns a number presenting the average</t>
  </si>
  <si>
    <t>AVERAGE (number1, [number2], ...)</t>
  </si>
  <si>
    <t>number1 - A number or cell reference that refers to numeric values.</t>
  </si>
  <si>
    <t>number2 - [optional] A number or cell reference that refers to numeric values.</t>
  </si>
  <si>
    <t>To calculate the average, Excel adds the numbers together and divides by the total number of numbers. For example, AVERAGE (2,4,6) returns 4.</t>
  </si>
  <si>
    <t>Numbers can be supplied as numbers, ranges, named ranges, or cell references that contain numeric values. Up to 255 numbers can be supplied.</t>
  </si>
  <si>
    <t>This function automatically ignores empty cells.</t>
  </si>
  <si>
    <t>Calculate the Average sales done by the company</t>
  </si>
  <si>
    <t>AVERAGEIF</t>
  </si>
  <si>
    <t>AVERAGEIF function returns the average of all numbers in a range of cells, based on a given criteria.</t>
  </si>
  <si>
    <t>Its purpose is to get the average of a group of numbers that meet the criteria and it returns a number presenting the average</t>
  </si>
  <si>
    <t>AVERAGEIF (range, criteria, [average_range])</t>
  </si>
  <si>
    <t>range - One or more cells, including numbers or names, arrays, or references.</t>
  </si>
  <si>
    <t>criteria - A number, expression, cell reference, or text.</t>
  </si>
  <si>
    <t>average_range - [optional] The cells to average. When omitted, range is used.</t>
  </si>
  <si>
    <t>Cells in range that contain TRUE or FALSE are ignored.</t>
  </si>
  <si>
    <t>Empty cells are ignored in range and average_range when calculating averages.</t>
  </si>
  <si>
    <t>AVERAGEIF returns #DIV/0! if no cells in range meet criteria.</t>
  </si>
  <si>
    <t>Average_range does not have to be the same size as range</t>
  </si>
  <si>
    <t>EXAMPLE</t>
  </si>
  <si>
    <t>City</t>
  </si>
  <si>
    <t>Chicago</t>
  </si>
  <si>
    <t>Calculate the avaerage sales made by the company in the city of Los Angeles</t>
  </si>
  <si>
    <t>Calculate the average sales made by the company in the following city</t>
  </si>
  <si>
    <t>AVERAGEIFS</t>
  </si>
  <si>
    <t>AVERAGEIFS function returns the average (arithmetic mean) of all numbers in a range of cells, based on multiple criteria.</t>
  </si>
  <si>
    <t>Its purpose is to get the average of a group of numbers in a range that meet the criteria</t>
  </si>
  <si>
    <t>AVERAGEIFS (average_range,criteria_range1,criteria1,…..)</t>
  </si>
  <si>
    <t>average_range - The range to average.</t>
  </si>
  <si>
    <t>range1 - The first range to evaulate.</t>
  </si>
  <si>
    <t>range2 - [optional] The second range to evaluate.</t>
  </si>
  <si>
    <t>criteria2 - [optional] The criteria to use on range2.</t>
  </si>
  <si>
    <t>Unlike the AVERAGEIF function, AVERAGEIFS can apply more than one set of criteria, with more than one range.</t>
  </si>
  <si>
    <t>The order of arguments is different between the AVERAGEIFS and AVERAGEIF functions.</t>
  </si>
  <si>
    <t>Non-numeric criteria needs to be enclosed in double quotes but numeric criteria does not.</t>
  </si>
  <si>
    <t>Calculate the average sales of office supplies in Los Angeles</t>
  </si>
  <si>
    <t>Calculate the average sales of Furniture in Los Angeles</t>
  </si>
  <si>
    <t>Q1 Provide the total sales of chairs sold to consumer segment</t>
  </si>
  <si>
    <t>Q2 Provide the average sales of Phones sold to Home Office Segment.</t>
  </si>
  <si>
    <t>Q3.Count how many orders were placed through Standard mode</t>
  </si>
  <si>
    <t>Q4. Find out average sales of Furniture in home segment in Newyork City</t>
  </si>
  <si>
    <t>Q5. Find out the number of machines sold to Corporate segment.</t>
  </si>
  <si>
    <t>Q6.Count the number of orders placed in :</t>
  </si>
  <si>
    <t>Q7. Provide the total sales of technology to the conumer segment in California</t>
  </si>
  <si>
    <t>Q8. Find the total sales of office supplies to consumer segment in Los Angeles</t>
  </si>
  <si>
    <t>Q9. Find the avaerage sales of technology to:</t>
  </si>
  <si>
    <t>Consumer</t>
  </si>
  <si>
    <t>Home Office</t>
  </si>
  <si>
    <t>Corporate</t>
  </si>
  <si>
    <t>Q10 Find the total sales of Furniture to the Consumer segment</t>
  </si>
  <si>
    <t>Country</t>
  </si>
  <si>
    <t>State</t>
  </si>
  <si>
    <t>Postal Code</t>
  </si>
  <si>
    <t>Quantity</t>
  </si>
  <si>
    <t>Discount</t>
  </si>
  <si>
    <t>Customer ID</t>
  </si>
  <si>
    <t>HA Q10</t>
  </si>
  <si>
    <t>United States</t>
  </si>
  <si>
    <t>New York City</t>
  </si>
  <si>
    <t>New York</t>
  </si>
  <si>
    <t>FUR-CH-10004086</t>
  </si>
  <si>
    <t>SV-20365</t>
  </si>
  <si>
    <t>TEC-PH-10002114</t>
  </si>
  <si>
    <t>CM-12655</t>
  </si>
  <si>
    <t>Columbia</t>
  </si>
  <si>
    <t>South Carolina</t>
  </si>
  <si>
    <t>FUR-CH-10000309</t>
  </si>
  <si>
    <t>GB-14575</t>
  </si>
  <si>
    <t>FUR-CH-10001215</t>
  </si>
  <si>
    <t>California</t>
  </si>
  <si>
    <t>TEC-PH-10002885</t>
  </si>
  <si>
    <t>KF-16285</t>
  </si>
  <si>
    <t>TEC-MA-10004002</t>
  </si>
  <si>
    <t>Machines</t>
  </si>
  <si>
    <t>CL-12565</t>
  </si>
  <si>
    <t>US-2014-106299</t>
  </si>
  <si>
    <t>Nick Zandusky</t>
  </si>
  <si>
    <t>Springfield</t>
  </si>
  <si>
    <t>Missouri</t>
  </si>
  <si>
    <t>OFF-ST-10002011</t>
  </si>
  <si>
    <t>NZ-18565</t>
  </si>
  <si>
    <t>CA-2015-111780</t>
  </si>
  <si>
    <t>Second Class</t>
  </si>
  <si>
    <t>Ralph Arnett</t>
  </si>
  <si>
    <t>San Diego</t>
  </si>
  <si>
    <t>TEC-CO-10004202</t>
  </si>
  <si>
    <t>Copiers</t>
  </si>
  <si>
    <t>RA-19285</t>
  </si>
  <si>
    <t>CA-2016-157259</t>
  </si>
  <si>
    <t>Jessica Myrick</t>
  </si>
  <si>
    <t>FUR-FU-10003192</t>
  </si>
  <si>
    <t>JM-15535</t>
  </si>
  <si>
    <t>CA-2016-151561</t>
  </si>
  <si>
    <t>Patrick Gardner</t>
  </si>
  <si>
    <t>TEC-AC-10001432</t>
  </si>
  <si>
    <t>Accessories</t>
  </si>
  <si>
    <t>PG-18820</t>
  </si>
  <si>
    <t>CA-2017-122364</t>
  </si>
  <si>
    <t>Frank Atkinson</t>
  </si>
  <si>
    <t>TEC-MA-10001031</t>
  </si>
  <si>
    <t>FA-14230</t>
  </si>
  <si>
    <t>TEC-PH-10000369</t>
  </si>
  <si>
    <t>CA-2016-154662</t>
  </si>
  <si>
    <t>Benjamin Farhat</t>
  </si>
  <si>
    <t>Minneapolis</t>
  </si>
  <si>
    <t>Minnesota</t>
  </si>
  <si>
    <t>FUR-TA-10001771</t>
  </si>
  <si>
    <t>BF-11215</t>
  </si>
  <si>
    <t>CA-2014-163447</t>
  </si>
  <si>
    <t>Thomas Brumley</t>
  </si>
  <si>
    <t>FUR-CH-10004477</t>
  </si>
  <si>
    <t>TB-21190</t>
  </si>
  <si>
    <t>CA-2017-121083</t>
  </si>
  <si>
    <t>Jamie Frazer</t>
  </si>
  <si>
    <t>Manchester</t>
  </si>
  <si>
    <t>Connecticut</t>
  </si>
  <si>
    <t>OFF-PA-10001497</t>
  </si>
  <si>
    <t>Paper</t>
  </si>
  <si>
    <t>JF-15190</t>
  </si>
  <si>
    <t>OFF-EN-10003296</t>
  </si>
  <si>
    <t>Envelopes</t>
  </si>
  <si>
    <t>CA-2016-161025</t>
  </si>
  <si>
    <t>Gary McGarr</t>
  </si>
  <si>
    <t>OFF-ST-10001932</t>
  </si>
  <si>
    <t>GM-14440</t>
  </si>
  <si>
    <t>TEC-AC-10002647</t>
  </si>
  <si>
    <t>CA-2015-113215</t>
  </si>
  <si>
    <t>Cathy Prescott</t>
  </si>
  <si>
    <t>Tucson</t>
  </si>
  <si>
    <t>Arizona</t>
  </si>
  <si>
    <t>FUR-FU-10002937</t>
  </si>
  <si>
    <t>CP-12085</t>
  </si>
  <si>
    <t>US-2016-106600</t>
  </si>
  <si>
    <t>Raymond Messe</t>
  </si>
  <si>
    <t>Columbus</t>
  </si>
  <si>
    <t>Georgia</t>
  </si>
  <si>
    <t>FUR-BO-10001608</t>
  </si>
  <si>
    <t>RM-19375</t>
  </si>
  <si>
    <t>CA-2015-153878</t>
  </si>
  <si>
    <t>Trudy Schmidt</t>
  </si>
  <si>
    <t>Milwaukee</t>
  </si>
  <si>
    <t>Wisconsin</t>
  </si>
  <si>
    <t>OFF-AP-10001205</t>
  </si>
  <si>
    <t>Appliances</t>
  </si>
  <si>
    <t>TS-21655</t>
  </si>
  <si>
    <t>TEC-PH-10001817</t>
  </si>
  <si>
    <t>TEC-PH-10001336</t>
  </si>
  <si>
    <t>year</t>
  </si>
</sst>
</file>

<file path=xl/styles.xml><?xml version="1.0" encoding="utf-8"?>
<styleSheet xmlns="http://schemas.openxmlformats.org/spreadsheetml/2006/main">
  <numFmts count="2">
    <numFmt numFmtId="164" formatCode="dd\-mm\-yyyy"/>
    <numFmt numFmtId="165" formatCode="d\-m\-yyyy"/>
  </numFmts>
  <fonts count="44">
    <font>
      <sz val="11"/>
      <color theme="1"/>
      <name val="Calibri"/>
      <family val="2"/>
      <scheme val="minor"/>
    </font>
    <font>
      <sz val="11"/>
      <color theme="1"/>
      <name val="Calibri"/>
      <family val="2"/>
      <scheme val="minor"/>
    </font>
    <font>
      <b/>
      <sz val="12"/>
      <color theme="1"/>
      <name val="Verdana"/>
      <family val="2"/>
    </font>
    <font>
      <sz val="12"/>
      <color theme="1"/>
      <name val="Verdana"/>
      <family val="2"/>
    </font>
    <font>
      <b/>
      <sz val="12"/>
      <color theme="0"/>
      <name val="Verdana"/>
      <family val="2"/>
    </font>
    <font>
      <sz val="10"/>
      <color rgb="FF000000"/>
      <name val="Calibri"/>
      <scheme val="minor"/>
    </font>
    <font>
      <b/>
      <sz val="12"/>
      <color rgb="FF548235"/>
      <name val="Verdana"/>
      <family val="2"/>
    </font>
    <font>
      <sz val="12"/>
      <color rgb="FF000000"/>
      <name val="Verdana"/>
      <family val="2"/>
    </font>
    <font>
      <sz val="12"/>
      <color rgb="FFFF0000"/>
      <name val="Verdana"/>
      <family val="2"/>
    </font>
    <font>
      <sz val="12"/>
      <color rgb="FF00B050"/>
      <name val="Verdana"/>
      <family val="2"/>
    </font>
    <font>
      <sz val="12"/>
      <color rgb="FF7030A0"/>
      <name val="Verdana"/>
      <family val="2"/>
    </font>
    <font>
      <b/>
      <sz val="12"/>
      <color rgb="FF2C2C2D"/>
      <name val="Verdana"/>
      <family val="2"/>
    </font>
    <font>
      <b/>
      <u/>
      <sz val="12"/>
      <color rgb="FF000000"/>
      <name val="Verdana"/>
      <family val="2"/>
    </font>
    <font>
      <b/>
      <sz val="12"/>
      <color rgb="FF000000"/>
      <name val="Verdana"/>
      <family val="2"/>
    </font>
    <font>
      <b/>
      <sz val="12"/>
      <color rgb="FFFFFFFF"/>
      <name val="Verdana"/>
      <family val="2"/>
    </font>
    <font>
      <b/>
      <sz val="11"/>
      <color rgb="FF548235"/>
      <name val="Verdana"/>
      <family val="2"/>
    </font>
    <font>
      <sz val="11"/>
      <color rgb="FF000000"/>
      <name val="Calibri"/>
      <family val="2"/>
    </font>
    <font>
      <b/>
      <sz val="11"/>
      <color theme="1"/>
      <name val="Verdana"/>
      <family val="2"/>
    </font>
    <font>
      <b/>
      <u/>
      <sz val="11"/>
      <color rgb="FF000000"/>
      <name val="Calibri"/>
      <family val="2"/>
    </font>
    <font>
      <b/>
      <sz val="11"/>
      <color rgb="FF000000"/>
      <name val="Calibri"/>
      <family val="2"/>
    </font>
    <font>
      <b/>
      <sz val="12"/>
      <color rgb="FFFFFFFF"/>
      <name val="Calibri"/>
      <family val="2"/>
    </font>
    <font>
      <sz val="12"/>
      <color rgb="FF2C2C2D"/>
      <name val="Verdana"/>
      <family val="2"/>
    </font>
    <font>
      <sz val="12"/>
      <color rgb="FF333333"/>
      <name val="Verdana"/>
      <family val="2"/>
    </font>
    <font>
      <b/>
      <sz val="12"/>
      <color rgb="FF333333"/>
      <name val="Verdana"/>
      <family val="2"/>
    </font>
    <font>
      <sz val="11"/>
      <color rgb="FF333333"/>
      <name val="Calibri"/>
      <family val="2"/>
    </font>
    <font>
      <sz val="11"/>
      <color rgb="FFFF0000"/>
      <name val="Calibri"/>
      <family val="2"/>
    </font>
    <font>
      <b/>
      <sz val="11"/>
      <color rgb="FF00B050"/>
      <name val="Calibri"/>
      <family val="2"/>
    </font>
    <font>
      <sz val="11"/>
      <color rgb="FF2C2C2D"/>
      <name val="Calibri"/>
      <family val="2"/>
    </font>
    <font>
      <b/>
      <sz val="12"/>
      <color rgb="FF00B050"/>
      <name val="Verdana"/>
      <family val="2"/>
    </font>
    <font>
      <b/>
      <sz val="12"/>
      <color rgb="FF7030A0"/>
      <name val="Verdana"/>
      <family val="2"/>
    </font>
    <font>
      <b/>
      <sz val="14"/>
      <color rgb="FF548235"/>
      <name val="Verdana"/>
      <family val="2"/>
    </font>
    <font>
      <sz val="14"/>
      <color rgb="FF000000"/>
      <name val="Calibri"/>
      <family val="2"/>
    </font>
    <font>
      <sz val="14"/>
      <color rgb="FF333333"/>
      <name val="Calibri"/>
      <family val="2"/>
    </font>
    <font>
      <b/>
      <sz val="14"/>
      <color theme="1"/>
      <name val="Verdana"/>
      <family val="2"/>
    </font>
    <font>
      <sz val="14"/>
      <color rgb="FFFF0000"/>
      <name val="Calibri"/>
      <family val="2"/>
    </font>
    <font>
      <sz val="14"/>
      <color rgb="FF00B050"/>
      <name val="Calibri"/>
      <family val="2"/>
    </font>
    <font>
      <b/>
      <u/>
      <sz val="14"/>
      <color rgb="FF000000"/>
      <name val="Calibri"/>
      <family val="2"/>
    </font>
    <font>
      <sz val="14"/>
      <color rgb="FF2C2C2D"/>
      <name val="Calibri"/>
      <family val="2"/>
    </font>
    <font>
      <b/>
      <sz val="14"/>
      <color rgb="FF00B050"/>
      <name val="Calibri"/>
      <family val="2"/>
    </font>
    <font>
      <b/>
      <sz val="14"/>
      <color rgb="FF2C2C2D"/>
      <name val="Calibri"/>
      <family val="2"/>
    </font>
    <font>
      <b/>
      <sz val="14"/>
      <color rgb="FFFFFFFF"/>
      <name val="Calibri"/>
      <family val="2"/>
    </font>
    <font>
      <b/>
      <sz val="14"/>
      <color rgb="FF000000"/>
      <name val="Calibri"/>
      <family val="2"/>
    </font>
    <font>
      <sz val="14"/>
      <color rgb="FF000000"/>
      <name val="Verdana"/>
      <family val="2"/>
    </font>
    <font>
      <b/>
      <sz val="12"/>
      <color theme="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003300"/>
        <bgColor indexed="64"/>
      </patternFill>
    </fill>
    <fill>
      <patternFill patternType="solid">
        <fgColor rgb="FF548235"/>
        <bgColor rgb="FF548235"/>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theme="6" tint="-0.49998474074526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9" fontId="1" fillId="0" borderId="0" applyFont="0" applyFill="0" applyBorder="0" applyAlignment="0" applyProtection="0"/>
    <xf numFmtId="0" fontId="5" fillId="0" borderId="0"/>
  </cellStyleXfs>
  <cellXfs count="107">
    <xf numFmtId="0" fontId="0" fillId="0" borderId="0" xfId="0"/>
    <xf numFmtId="0" fontId="2" fillId="0" borderId="0" xfId="0" applyFont="1"/>
    <xf numFmtId="0" fontId="3" fillId="0" borderId="0" xfId="0" applyFont="1"/>
    <xf numFmtId="0" fontId="3" fillId="2" borderId="0" xfId="0" applyFont="1" applyFill="1"/>
    <xf numFmtId="0" fontId="4" fillId="3" borderId="1" xfId="0" applyFont="1" applyFill="1" applyBorder="1" applyAlignment="1">
      <alignment horizontal="center"/>
    </xf>
    <xf numFmtId="0" fontId="3" fillId="0" borderId="1" xfId="0" applyFont="1" applyBorder="1"/>
    <xf numFmtId="14" fontId="3" fillId="0" borderId="1" xfId="0" applyNumberFormat="1" applyFont="1" applyBorder="1"/>
    <xf numFmtId="0" fontId="6" fillId="0" borderId="0" xfId="2" applyFont="1"/>
    <xf numFmtId="0" fontId="7" fillId="0" borderId="0" xfId="2" applyFont="1"/>
    <xf numFmtId="0" fontId="5" fillId="0" borderId="0" xfId="2"/>
    <xf numFmtId="0" fontId="2" fillId="0" borderId="0" xfId="2" applyFont="1"/>
    <xf numFmtId="0" fontId="11" fillId="0" borderId="0" xfId="2" applyFont="1" applyAlignment="1">
      <alignment horizontal="left"/>
    </xf>
    <xf numFmtId="0" fontId="13" fillId="0" borderId="0" xfId="2" applyFont="1"/>
    <xf numFmtId="0" fontId="14" fillId="4" borderId="2" xfId="2" applyFont="1" applyFill="1" applyBorder="1" applyAlignment="1">
      <alignment horizontal="center"/>
    </xf>
    <xf numFmtId="0" fontId="14" fillId="4" borderId="0" xfId="2" applyFont="1" applyFill="1" applyAlignment="1">
      <alignment horizontal="center"/>
    </xf>
    <xf numFmtId="0" fontId="13" fillId="0" borderId="0" xfId="2" applyFont="1" applyAlignment="1">
      <alignment horizontal="center"/>
    </xf>
    <xf numFmtId="0" fontId="7" fillId="0" borderId="2" xfId="2" applyFont="1" applyBorder="1"/>
    <xf numFmtId="0" fontId="7" fillId="0" borderId="2" xfId="2" applyFont="1" applyBorder="1" applyAlignment="1">
      <alignment horizontal="right"/>
    </xf>
    <xf numFmtId="0" fontId="7" fillId="0" borderId="2" xfId="2" applyFont="1" applyBorder="1" applyAlignment="1">
      <alignment horizontal="center"/>
    </xf>
    <xf numFmtId="0" fontId="13" fillId="5" borderId="2" xfId="2" applyFont="1" applyFill="1" applyBorder="1" applyAlignment="1">
      <alignment horizontal="right"/>
    </xf>
    <xf numFmtId="0" fontId="16" fillId="0" borderId="0" xfId="2" applyFont="1"/>
    <xf numFmtId="0" fontId="3" fillId="6" borderId="0" xfId="2" applyFont="1" applyFill="1"/>
    <xf numFmtId="0" fontId="17" fillId="0" borderId="0" xfId="2" applyFont="1"/>
    <xf numFmtId="0" fontId="18" fillId="0" borderId="0" xfId="2" applyFont="1"/>
    <xf numFmtId="0" fontId="20" fillId="4" borderId="2" xfId="2" applyFont="1" applyFill="1" applyBorder="1" applyAlignment="1">
      <alignment horizontal="center"/>
    </xf>
    <xf numFmtId="0" fontId="16" fillId="0" borderId="2" xfId="2" applyFont="1" applyBorder="1" applyAlignment="1">
      <alignment horizontal="center"/>
    </xf>
    <xf numFmtId="164" fontId="16" fillId="0" borderId="2" xfId="2" applyNumberFormat="1" applyFont="1" applyBorder="1" applyAlignment="1">
      <alignment horizontal="center"/>
    </xf>
    <xf numFmtId="165" fontId="16" fillId="0" borderId="2" xfId="2" applyNumberFormat="1" applyFont="1" applyBorder="1" applyAlignment="1">
      <alignment horizontal="center"/>
    </xf>
    <xf numFmtId="0" fontId="16" fillId="5" borderId="0" xfId="2" applyFont="1" applyFill="1" applyAlignment="1">
      <alignment horizontal="right"/>
    </xf>
    <xf numFmtId="0" fontId="9" fillId="0" borderId="0" xfId="2" applyFont="1"/>
    <xf numFmtId="0" fontId="12" fillId="0" borderId="0" xfId="2" applyFont="1"/>
    <xf numFmtId="164" fontId="7" fillId="0" borderId="2" xfId="2" applyNumberFormat="1" applyFont="1" applyBorder="1" applyAlignment="1">
      <alignment horizontal="center"/>
    </xf>
    <xf numFmtId="165" fontId="7" fillId="0" borderId="2" xfId="2" applyNumberFormat="1" applyFont="1" applyBorder="1" applyAlignment="1">
      <alignment horizontal="center"/>
    </xf>
    <xf numFmtId="0" fontId="7" fillId="5" borderId="0" xfId="2" applyFont="1" applyFill="1" applyAlignment="1">
      <alignment horizontal="right"/>
    </xf>
    <xf numFmtId="0" fontId="13" fillId="0" borderId="0" xfId="2" applyFont="1" applyAlignment="1">
      <alignment horizontal="left"/>
    </xf>
    <xf numFmtId="0" fontId="7" fillId="0" borderId="0" xfId="2" applyFont="1" applyAlignment="1">
      <alignment horizontal="right"/>
    </xf>
    <xf numFmtId="0" fontId="13" fillId="5" borderId="0" xfId="2" applyFont="1" applyFill="1" applyAlignment="1">
      <alignment horizontal="right"/>
    </xf>
    <xf numFmtId="0" fontId="21" fillId="0" borderId="0" xfId="2" applyFont="1"/>
    <xf numFmtId="0" fontId="3" fillId="0" borderId="0" xfId="2" applyFont="1"/>
    <xf numFmtId="0" fontId="7" fillId="6" borderId="2" xfId="2" applyFont="1" applyFill="1" applyBorder="1" applyAlignment="1">
      <alignment horizontal="center"/>
    </xf>
    <xf numFmtId="0" fontId="23" fillId="0" borderId="0" xfId="2" applyFont="1" applyAlignment="1">
      <alignment horizontal="left"/>
    </xf>
    <xf numFmtId="0" fontId="7" fillId="0" borderId="0" xfId="2" applyFont="1" applyAlignment="1">
      <alignment horizontal="center"/>
    </xf>
    <xf numFmtId="0" fontId="7" fillId="7" borderId="0" xfId="2" applyFont="1" applyFill="1"/>
    <xf numFmtId="0" fontId="7" fillId="5" borderId="0" xfId="2" applyFont="1" applyFill="1"/>
    <xf numFmtId="0" fontId="25" fillId="0" borderId="3" xfId="2" applyFont="1" applyBorder="1" applyAlignment="1">
      <alignment horizontal="left"/>
    </xf>
    <xf numFmtId="0" fontId="27" fillId="0" borderId="0" xfId="2" applyFont="1" applyAlignment="1">
      <alignment horizontal="left"/>
    </xf>
    <xf numFmtId="0" fontId="16" fillId="0" borderId="0" xfId="2" applyFont="1" applyAlignment="1">
      <alignment horizontal="right"/>
    </xf>
    <xf numFmtId="0" fontId="16" fillId="5" borderId="0" xfId="2" applyFont="1" applyFill="1"/>
    <xf numFmtId="0" fontId="31" fillId="0" borderId="0" xfId="2" applyFont="1"/>
    <xf numFmtId="0" fontId="33" fillId="0" borderId="0" xfId="2" applyFont="1"/>
    <xf numFmtId="0" fontId="36" fillId="0" borderId="0" xfId="2" applyFont="1"/>
    <xf numFmtId="0" fontId="39" fillId="0" borderId="0" xfId="2" applyFont="1" applyAlignment="1">
      <alignment horizontal="left"/>
    </xf>
    <xf numFmtId="0" fontId="40" fillId="4" borderId="2" xfId="2" applyFont="1" applyFill="1" applyBorder="1" applyAlignment="1">
      <alignment horizontal="center"/>
    </xf>
    <xf numFmtId="0" fontId="31" fillId="0" borderId="2" xfId="2" applyFont="1" applyBorder="1" applyAlignment="1">
      <alignment horizontal="center"/>
    </xf>
    <xf numFmtId="164" fontId="31" fillId="0" borderId="2" xfId="2" applyNumberFormat="1" applyFont="1" applyBorder="1" applyAlignment="1">
      <alignment horizontal="center"/>
    </xf>
    <xf numFmtId="165" fontId="31" fillId="0" borderId="2" xfId="2" applyNumberFormat="1" applyFont="1" applyBorder="1" applyAlignment="1">
      <alignment horizontal="center"/>
    </xf>
    <xf numFmtId="0" fontId="31" fillId="5" borderId="0" xfId="2" applyFont="1" applyFill="1" applyAlignment="1">
      <alignment horizontal="right"/>
    </xf>
    <xf numFmtId="0" fontId="41" fillId="0" borderId="0" xfId="2" applyFont="1"/>
    <xf numFmtId="0" fontId="42" fillId="0" borderId="0" xfId="2" applyFont="1"/>
    <xf numFmtId="0" fontId="31" fillId="5" borderId="2" xfId="2" applyFont="1" applyFill="1" applyBorder="1" applyAlignment="1">
      <alignment horizontal="left"/>
    </xf>
    <xf numFmtId="0" fontId="31" fillId="5" borderId="2" xfId="2" applyFont="1" applyFill="1" applyBorder="1" applyAlignment="1">
      <alignment horizontal="right"/>
    </xf>
    <xf numFmtId="0" fontId="31" fillId="0" borderId="0" xfId="2" applyFont="1" applyAlignment="1">
      <alignment horizontal="right"/>
    </xf>
    <xf numFmtId="0" fontId="43" fillId="8" borderId="1" xfId="0" applyFont="1" applyFill="1" applyBorder="1" applyAlignment="1">
      <alignment horizontal="center"/>
    </xf>
    <xf numFmtId="9" fontId="43" fillId="8" borderId="1" xfId="1" applyFont="1" applyFill="1" applyBorder="1" applyAlignment="1">
      <alignment horizontal="center"/>
    </xf>
    <xf numFmtId="0" fontId="43" fillId="9" borderId="0" xfId="0" applyFont="1" applyFill="1" applyAlignment="1">
      <alignment horizontal="center"/>
    </xf>
    <xf numFmtId="0" fontId="43" fillId="9" borderId="0" xfId="0" applyFont="1" applyFill="1"/>
    <xf numFmtId="0" fontId="0" fillId="9" borderId="0" xfId="0" applyFill="1"/>
    <xf numFmtId="0" fontId="0" fillId="0" borderId="1" xfId="0" applyBorder="1" applyAlignment="1">
      <alignment horizontal="center"/>
    </xf>
    <xf numFmtId="14" fontId="0" fillId="0" borderId="1" xfId="0" applyNumberFormat="1" applyBorder="1" applyAlignment="1">
      <alignment horizontal="center"/>
    </xf>
    <xf numFmtId="9" fontId="0" fillId="0" borderId="1" xfId="1" applyFont="1" applyBorder="1" applyAlignment="1">
      <alignment horizontal="center"/>
    </xf>
    <xf numFmtId="0" fontId="0" fillId="9" borderId="0" xfId="0" applyFill="1" applyAlignment="1">
      <alignment horizontal="center"/>
    </xf>
    <xf numFmtId="0" fontId="0" fillId="0" borderId="0" xfId="0" applyAlignment="1">
      <alignment horizontal="center"/>
    </xf>
    <xf numFmtId="0" fontId="7" fillId="5" borderId="2" xfId="2" applyFont="1" applyFill="1" applyBorder="1"/>
    <xf numFmtId="0" fontId="7" fillId="5" borderId="2" xfId="2" applyFont="1" applyFill="1" applyBorder="1" applyAlignment="1">
      <alignment horizontal="right"/>
    </xf>
    <xf numFmtId="0" fontId="7" fillId="6" borderId="2" xfId="2" applyFont="1" applyFill="1" applyBorder="1"/>
    <xf numFmtId="0" fontId="0" fillId="9" borderId="1" xfId="0" applyFill="1" applyBorder="1" applyAlignment="1">
      <alignment horizontal="center"/>
    </xf>
    <xf numFmtId="0" fontId="31" fillId="0" borderId="0" xfId="2" applyFont="1"/>
    <xf numFmtId="0" fontId="12" fillId="0" borderId="0" xfId="2" applyFont="1"/>
    <xf numFmtId="0" fontId="7" fillId="0" borderId="0" xfId="2" applyFont="1"/>
    <xf numFmtId="0" fontId="8" fillId="0" borderId="0" xfId="2" applyFont="1"/>
    <xf numFmtId="0" fontId="9" fillId="0" borderId="0" xfId="2" applyFont="1"/>
    <xf numFmtId="0" fontId="10" fillId="0" borderId="0" xfId="2" applyFont="1"/>
    <xf numFmtId="0" fontId="13" fillId="0" borderId="0" xfId="2" applyFont="1"/>
    <xf numFmtId="0" fontId="21" fillId="0" borderId="0" xfId="2" applyFont="1"/>
    <xf numFmtId="0" fontId="5" fillId="0" borderId="0" xfId="2"/>
    <xf numFmtId="0" fontId="22" fillId="0" borderId="0" xfId="2" applyFont="1"/>
    <xf numFmtId="0" fontId="24" fillId="0" borderId="0" xfId="2" applyFont="1"/>
    <xf numFmtId="0" fontId="13" fillId="0" borderId="0" xfId="2" applyFont="1" applyAlignment="1">
      <alignment horizontal="left"/>
    </xf>
    <xf numFmtId="0" fontId="10" fillId="0" borderId="0" xfId="2" applyFont="1" applyAlignment="1">
      <alignment horizontal="left"/>
    </xf>
    <xf numFmtId="0" fontId="22" fillId="0" borderId="0" xfId="2" applyFont="1" applyAlignment="1">
      <alignment horizontal="left"/>
    </xf>
    <xf numFmtId="0" fontId="15" fillId="0" borderId="0" xfId="2" applyFont="1"/>
    <xf numFmtId="0" fontId="19" fillId="0" borderId="0" xfId="2" applyFont="1"/>
    <xf numFmtId="0" fontId="26" fillId="0" borderId="0" xfId="2" applyFont="1" applyAlignment="1">
      <alignment horizontal="left"/>
    </xf>
    <xf numFmtId="0" fontId="27" fillId="0" borderId="0" xfId="2" applyFont="1" applyAlignment="1">
      <alignment horizontal="left"/>
    </xf>
    <xf numFmtId="0" fontId="16" fillId="0" borderId="0" xfId="2" applyFont="1"/>
    <xf numFmtId="0" fontId="21" fillId="0" borderId="0" xfId="2" applyFont="1" applyAlignment="1">
      <alignment horizontal="left"/>
    </xf>
    <xf numFmtId="0" fontId="28" fillId="0" borderId="0" xfId="2" applyFont="1" applyAlignment="1">
      <alignment horizontal="left"/>
    </xf>
    <xf numFmtId="0" fontId="29" fillId="0" borderId="0" xfId="2" applyFont="1" applyAlignment="1">
      <alignment horizontal="left"/>
    </xf>
    <xf numFmtId="0" fontId="37" fillId="0" borderId="0" xfId="2" applyFont="1" applyAlignment="1">
      <alignment horizontal="left"/>
    </xf>
    <xf numFmtId="0" fontId="30" fillId="0" borderId="0" xfId="2" applyFont="1"/>
    <xf numFmtId="0" fontId="32" fillId="0" borderId="0" xfId="2" applyFont="1"/>
    <xf numFmtId="0" fontId="31" fillId="0" borderId="0" xfId="2" applyFont="1"/>
    <xf numFmtId="0" fontId="34" fillId="0" borderId="0" xfId="2" applyFont="1"/>
    <xf numFmtId="0" fontId="35" fillId="0" borderId="0" xfId="2" applyFont="1" applyAlignment="1">
      <alignment horizontal="left"/>
    </xf>
    <xf numFmtId="0" fontId="34" fillId="0" borderId="0" xfId="2" applyFont="1" applyAlignment="1">
      <alignment horizontal="left"/>
    </xf>
    <xf numFmtId="0" fontId="38" fillId="0" borderId="0" xfId="2" applyFont="1" applyAlignment="1">
      <alignment horizontal="left"/>
    </xf>
    <xf numFmtId="0" fontId="41" fillId="0" borderId="0" xfId="2" applyFont="1"/>
  </cellXfs>
  <cellStyles count="3">
    <cellStyle name="Normal" xfId="0" builtinId="0"/>
    <cellStyle name="Normal 2"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9</xdr:col>
      <xdr:colOff>349815</xdr:colOff>
      <xdr:row>26</xdr:row>
      <xdr:rowOff>54476</xdr:rowOff>
    </xdr:to>
    <xdr:pic>
      <xdr:nvPicPr>
        <xdr:cNvPr id="2" name="Picture 1" descr="Capture_datavalidation.PNG">
          <a:extLst>
            <a:ext uri="{FF2B5EF4-FFF2-40B4-BE49-F238E27FC236}">
              <a16:creationId xmlns="" xmlns:a16="http://schemas.microsoft.com/office/drawing/2014/main" id="{B426E660-DA88-4093-B54B-9D2D32394E43}"/>
            </a:ext>
          </a:extLst>
        </xdr:cNvPr>
        <xdr:cNvPicPr>
          <a:picLocks noChangeAspect="1"/>
        </xdr:cNvPicPr>
      </xdr:nvPicPr>
      <xdr:blipFill>
        <a:blip xmlns:r="http://schemas.openxmlformats.org/officeDocument/2006/relationships" r:embed="rId1" cstate="print"/>
        <a:stretch>
          <a:fillRect/>
        </a:stretch>
      </xdr:blipFill>
      <xdr:spPr>
        <a:xfrm>
          <a:off x="0" y="4114800"/>
          <a:ext cx="8868975" cy="12889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elcome/Downloads/FMC%20Module%202_part%20B(revised)%20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khilesh/Downloads/FMC%20Module%202_part%20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welcome/AppData/Roaming/Microsoft/Excel/FMC%20Module%202_part%20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upali/Downloads/FMC%20Module%202_part%20B(revis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tro"/>
      <sheetName val="OFFSET"/>
      <sheetName val="Name Ranges"/>
      <sheetName val="Dynamic Name range"/>
      <sheetName val="Data Validation"/>
      <sheetName val="Indirect"/>
      <sheetName val="Sales"/>
      <sheetName val="Exercise"/>
      <sheetName val="Home Assignment"/>
      <sheetName val="Disclaimer"/>
    </sheetNames>
    <sheetDataSet>
      <sheetData sheetId="0"/>
      <sheetData sheetId="1">
        <row r="1">
          <cell r="A1" t="str">
            <v>OFFSET</v>
          </cell>
        </row>
        <row r="23">
          <cell r="D23">
            <v>7306</v>
          </cell>
        </row>
        <row r="24">
          <cell r="D24">
            <v>6402</v>
          </cell>
        </row>
        <row r="25">
          <cell r="D25">
            <v>1012.95</v>
          </cell>
        </row>
        <row r="26">
          <cell r="D26">
            <v>545</v>
          </cell>
        </row>
        <row r="27">
          <cell r="D27">
            <v>1736</v>
          </cell>
        </row>
        <row r="28">
          <cell r="D28">
            <v>2833</v>
          </cell>
        </row>
        <row r="29">
          <cell r="D29">
            <v>1249.9000000000001</v>
          </cell>
        </row>
        <row r="30">
          <cell r="D30">
            <v>1350</v>
          </cell>
        </row>
        <row r="31">
          <cell r="D31">
            <v>1979</v>
          </cell>
        </row>
        <row r="32">
          <cell r="D32">
            <v>61.3</v>
          </cell>
        </row>
        <row r="33">
          <cell r="D33">
            <v>173.9</v>
          </cell>
        </row>
        <row r="34">
          <cell r="D34">
            <v>597</v>
          </cell>
        </row>
        <row r="35">
          <cell r="D35">
            <v>766</v>
          </cell>
        </row>
        <row r="36">
          <cell r="D36">
            <v>563.4</v>
          </cell>
        </row>
        <row r="37">
          <cell r="D37">
            <v>1800</v>
          </cell>
        </row>
        <row r="38">
          <cell r="D38">
            <v>135.1</v>
          </cell>
        </row>
        <row r="39">
          <cell r="D39">
            <v>306.8</v>
          </cell>
        </row>
        <row r="40">
          <cell r="D40">
            <v>485.15</v>
          </cell>
        </row>
        <row r="41">
          <cell r="D41">
            <v>341</v>
          </cell>
        </row>
      </sheetData>
      <sheetData sheetId="2">
        <row r="9">
          <cell r="B9" t="str">
            <v>Product</v>
          </cell>
          <cell r="C9" t="str">
            <v>Category</v>
          </cell>
          <cell r="D9" t="str">
            <v>Amount</v>
          </cell>
        </row>
        <row r="10">
          <cell r="B10" t="str">
            <v>Carrots</v>
          </cell>
          <cell r="C10" t="str">
            <v>Vegetables</v>
          </cell>
          <cell r="D10">
            <v>4270</v>
          </cell>
        </row>
        <row r="11">
          <cell r="B11" t="str">
            <v>Broccoli</v>
          </cell>
          <cell r="C11" t="str">
            <v>Vegetables</v>
          </cell>
          <cell r="D11">
            <v>8239</v>
          </cell>
        </row>
        <row r="12">
          <cell r="B12" t="str">
            <v>Banana</v>
          </cell>
          <cell r="C12" t="str">
            <v>Fruit</v>
          </cell>
          <cell r="D12">
            <v>617</v>
          </cell>
        </row>
        <row r="13">
          <cell r="B13" t="str">
            <v>Banana</v>
          </cell>
          <cell r="C13" t="str">
            <v>Fruit</v>
          </cell>
          <cell r="D13">
            <v>8384</v>
          </cell>
        </row>
        <row r="14">
          <cell r="B14" t="str">
            <v>Beans</v>
          </cell>
          <cell r="C14" t="str">
            <v>Vegetables</v>
          </cell>
          <cell r="D14">
            <v>2626</v>
          </cell>
        </row>
        <row r="15">
          <cell r="B15" t="str">
            <v>Orange</v>
          </cell>
          <cell r="C15" t="str">
            <v>Fruit</v>
          </cell>
          <cell r="D15">
            <v>3610</v>
          </cell>
        </row>
        <row r="16">
          <cell r="B16" t="str">
            <v>Broccoli</v>
          </cell>
          <cell r="C16" t="str">
            <v>Vegetables</v>
          </cell>
          <cell r="D16">
            <v>9062</v>
          </cell>
        </row>
        <row r="17">
          <cell r="B17" t="str">
            <v>Banana</v>
          </cell>
          <cell r="C17" t="str">
            <v>Fruit</v>
          </cell>
          <cell r="D17">
            <v>6906</v>
          </cell>
        </row>
        <row r="18">
          <cell r="B18" t="str">
            <v>Apple</v>
          </cell>
          <cell r="C18" t="str">
            <v>Fruit</v>
          </cell>
          <cell r="D18">
            <v>2417</v>
          </cell>
        </row>
        <row r="19">
          <cell r="B19" t="str">
            <v>Apple</v>
          </cell>
          <cell r="C19" t="str">
            <v>Fruit</v>
          </cell>
          <cell r="D19">
            <v>7431</v>
          </cell>
        </row>
        <row r="20">
          <cell r="B20" t="str">
            <v>Banana</v>
          </cell>
          <cell r="C20" t="str">
            <v>Fruit</v>
          </cell>
          <cell r="D20">
            <v>8250</v>
          </cell>
        </row>
        <row r="21">
          <cell r="B21" t="str">
            <v>Broccoli</v>
          </cell>
          <cell r="C21" t="str">
            <v>Vegetables</v>
          </cell>
          <cell r="D21">
            <v>7012</v>
          </cell>
        </row>
        <row r="22">
          <cell r="B22" t="str">
            <v>Carrots</v>
          </cell>
          <cell r="C22" t="str">
            <v>Vegetables</v>
          </cell>
          <cell r="D22">
            <v>1903</v>
          </cell>
        </row>
        <row r="23">
          <cell r="B23" t="str">
            <v>Broccoli</v>
          </cell>
          <cell r="C23" t="str">
            <v>Vegetables</v>
          </cell>
          <cell r="D23">
            <v>2824</v>
          </cell>
        </row>
        <row r="24">
          <cell r="B24" t="str">
            <v>Apple</v>
          </cell>
          <cell r="C24" t="str">
            <v>Fruit</v>
          </cell>
          <cell r="D24">
            <v>6946</v>
          </cell>
        </row>
        <row r="25">
          <cell r="B25" t="str">
            <v>Banana</v>
          </cell>
          <cell r="C25" t="str">
            <v>Fruit</v>
          </cell>
          <cell r="D25">
            <v>2320</v>
          </cell>
        </row>
        <row r="26">
          <cell r="B26" t="str">
            <v>Banana</v>
          </cell>
          <cell r="C26" t="str">
            <v>Fruit</v>
          </cell>
          <cell r="D26">
            <v>2116</v>
          </cell>
        </row>
        <row r="27">
          <cell r="B27" t="str">
            <v>Banana</v>
          </cell>
          <cell r="C27" t="str">
            <v>Fruit</v>
          </cell>
          <cell r="D27">
            <v>1135</v>
          </cell>
        </row>
        <row r="28">
          <cell r="B28" t="str">
            <v>Broccoli</v>
          </cell>
          <cell r="C28" t="str">
            <v>Vegetables</v>
          </cell>
          <cell r="D28">
            <v>3595</v>
          </cell>
        </row>
        <row r="29">
          <cell r="B29" t="str">
            <v>Apple</v>
          </cell>
          <cell r="C29" t="str">
            <v>Fruit</v>
          </cell>
          <cell r="D29">
            <v>1161</v>
          </cell>
        </row>
      </sheetData>
      <sheetData sheetId="3">
        <row r="27">
          <cell r="D27" t="str">
            <v>Amount</v>
          </cell>
        </row>
        <row r="28">
          <cell r="D28">
            <v>4270</v>
          </cell>
        </row>
        <row r="29">
          <cell r="D29">
            <v>8239</v>
          </cell>
        </row>
        <row r="30">
          <cell r="D30">
            <v>617</v>
          </cell>
        </row>
        <row r="31">
          <cell r="D31">
            <v>8384</v>
          </cell>
        </row>
        <row r="32">
          <cell r="D32">
            <v>2626</v>
          </cell>
        </row>
        <row r="33">
          <cell r="D33">
            <v>3610</v>
          </cell>
        </row>
        <row r="34">
          <cell r="D34">
            <v>9062</v>
          </cell>
        </row>
        <row r="35">
          <cell r="D35">
            <v>6906</v>
          </cell>
        </row>
        <row r="36">
          <cell r="D36">
            <v>2417</v>
          </cell>
        </row>
        <row r="37">
          <cell r="D37">
            <v>7431</v>
          </cell>
        </row>
        <row r="38">
          <cell r="D38">
            <v>8250</v>
          </cell>
        </row>
        <row r="39">
          <cell r="D39">
            <v>7012</v>
          </cell>
        </row>
        <row r="40">
          <cell r="D40">
            <v>1903</v>
          </cell>
        </row>
        <row r="41">
          <cell r="D41">
            <v>2824</v>
          </cell>
        </row>
        <row r="42">
          <cell r="D42">
            <v>6946</v>
          </cell>
        </row>
        <row r="43">
          <cell r="D43">
            <v>2320</v>
          </cell>
        </row>
        <row r="44">
          <cell r="D44">
            <v>2116</v>
          </cell>
        </row>
        <row r="45">
          <cell r="D45">
            <v>1135</v>
          </cell>
        </row>
        <row r="46">
          <cell r="D46">
            <v>3595</v>
          </cell>
        </row>
        <row r="47">
          <cell r="D47">
            <v>1161</v>
          </cell>
        </row>
        <row r="48">
          <cell r="D48">
            <v>2000</v>
          </cell>
        </row>
        <row r="49">
          <cell r="D49">
            <v>3500</v>
          </cell>
        </row>
        <row r="55">
          <cell r="D55" t="str">
            <v>Total Value (Lacs)</v>
          </cell>
        </row>
        <row r="56">
          <cell r="C56">
            <v>9089221</v>
          </cell>
          <cell r="D56">
            <v>17980489</v>
          </cell>
        </row>
        <row r="57">
          <cell r="C57">
            <v>9760484</v>
          </cell>
          <cell r="D57">
            <v>17527363.18</v>
          </cell>
        </row>
        <row r="58">
          <cell r="C58">
            <v>10001727</v>
          </cell>
          <cell r="D58">
            <v>17994981.5</v>
          </cell>
        </row>
        <row r="59">
          <cell r="C59">
            <v>9663715</v>
          </cell>
          <cell r="D59">
            <v>17561070.640000001</v>
          </cell>
        </row>
        <row r="60">
          <cell r="C60">
            <v>8926485</v>
          </cell>
          <cell r="D60">
            <v>17852871.469999999</v>
          </cell>
        </row>
        <row r="61">
          <cell r="C61">
            <v>8627574</v>
          </cell>
          <cell r="D61">
            <v>16887946.420000002</v>
          </cell>
        </row>
        <row r="62">
          <cell r="C62">
            <v>8363392</v>
          </cell>
          <cell r="D62">
            <v>17470835.650000002</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ivot SubCategory"/>
      <sheetName val="OFFSET"/>
      <sheetName val="MATCH &amp; INDEX"/>
    </sheetNames>
    <sheetDataSet>
      <sheetData sheetId="0"/>
      <sheetData sheetId="1"/>
      <sheetData sheetId="2">
        <row r="5">
          <cell r="H5">
            <v>805004</v>
          </cell>
        </row>
        <row r="6">
          <cell r="H6">
            <v>674882</v>
          </cell>
        </row>
        <row r="7">
          <cell r="H7">
            <v>1646767</v>
          </cell>
        </row>
        <row r="8">
          <cell r="H8">
            <v>247924</v>
          </cell>
        </row>
        <row r="9">
          <cell r="H9">
            <v>402906</v>
          </cell>
        </row>
        <row r="10">
          <cell r="H10">
            <v>598973</v>
          </cell>
        </row>
        <row r="11">
          <cell r="H11">
            <v>1500406</v>
          </cell>
        </row>
        <row r="12">
          <cell r="H12">
            <v>415785</v>
          </cell>
        </row>
        <row r="13">
          <cell r="H13">
            <v>885334</v>
          </cell>
        </row>
        <row r="14">
          <cell r="H14">
            <v>1468816</v>
          </cell>
        </row>
        <row r="15">
          <cell r="H15">
            <v>669490</v>
          </cell>
        </row>
        <row r="16">
          <cell r="H16">
            <v>5687160</v>
          </cell>
        </row>
        <row r="17">
          <cell r="H17">
            <v>2522507</v>
          </cell>
        </row>
        <row r="18">
          <cell r="H18">
            <v>569666</v>
          </cell>
        </row>
        <row r="19">
          <cell r="H19">
            <v>45949</v>
          </cell>
        </row>
        <row r="20">
          <cell r="H20">
            <v>50236</v>
          </cell>
        </row>
        <row r="21">
          <cell r="H21">
            <v>384872</v>
          </cell>
        </row>
        <row r="22">
          <cell r="H22">
            <v>166076</v>
          </cell>
        </row>
        <row r="23">
          <cell r="H23">
            <v>1683176</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ivot SubCategory"/>
      <sheetName val="OFFSET"/>
      <sheetName val="MATCH &amp; INDEX"/>
    </sheetNames>
    <sheetDataSet>
      <sheetData sheetId="0"/>
      <sheetData sheetId="1"/>
      <sheetData sheetId="2">
        <row r="5">
          <cell r="H5">
            <v>805004</v>
          </cell>
        </row>
        <row r="6">
          <cell r="H6">
            <v>674882</v>
          </cell>
        </row>
        <row r="7">
          <cell r="H7">
            <v>1646767</v>
          </cell>
        </row>
        <row r="8">
          <cell r="H8">
            <v>247924</v>
          </cell>
        </row>
        <row r="9">
          <cell r="H9">
            <v>402906</v>
          </cell>
        </row>
        <row r="10">
          <cell r="H10">
            <v>598973</v>
          </cell>
        </row>
        <row r="11">
          <cell r="H11">
            <v>1500406</v>
          </cell>
        </row>
        <row r="12">
          <cell r="H12">
            <v>415785</v>
          </cell>
        </row>
        <row r="13">
          <cell r="H13">
            <v>885334</v>
          </cell>
        </row>
        <row r="14">
          <cell r="H14">
            <v>1468816</v>
          </cell>
        </row>
        <row r="15">
          <cell r="H15">
            <v>669490</v>
          </cell>
        </row>
        <row r="16">
          <cell r="H16">
            <v>5687160</v>
          </cell>
        </row>
        <row r="17">
          <cell r="H17">
            <v>2522507</v>
          </cell>
        </row>
        <row r="18">
          <cell r="H18">
            <v>569666</v>
          </cell>
        </row>
        <row r="19">
          <cell r="H19">
            <v>45949</v>
          </cell>
        </row>
        <row r="20">
          <cell r="H20">
            <v>50236</v>
          </cell>
        </row>
        <row r="21">
          <cell r="H21">
            <v>384872</v>
          </cell>
        </row>
        <row r="22">
          <cell r="H22">
            <v>166076</v>
          </cell>
        </row>
        <row r="23">
          <cell r="H23">
            <v>1683176</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OFFSET"/>
      <sheetName val="Name Ranges"/>
      <sheetName val="Dynamic Name range"/>
      <sheetName val="Data Validation"/>
      <sheetName val="Indirect"/>
      <sheetName val="Sales"/>
      <sheetName val="Exercise"/>
      <sheetName val="Home Assignment"/>
    </sheetNames>
    <sheetDataSet>
      <sheetData sheetId="0">
        <row r="1">
          <cell r="A1" t="str">
            <v>OFFSET</v>
          </cell>
        </row>
        <row r="2">
          <cell r="A2" t="str">
            <v>OFFSET function is used in those cases where data is dynamic and not static in nature.</v>
          </cell>
        </row>
        <row r="4">
          <cell r="A4" t="str">
            <v>Offset function return the value of a cell that is specified number of rows and columns away from a cell or range of cells that a user referenced in an adjacent range.</v>
          </cell>
        </row>
        <row r="6">
          <cell r="A6" t="str">
            <v>SYNTAX</v>
          </cell>
        </row>
        <row r="7">
          <cell r="A7" t="str">
            <v>OFFSET(reference, rows, cols,[height, width]</v>
          </cell>
        </row>
        <row r="9">
          <cell r="A9" t="str">
            <v>reference - The reference from which the user wants the base to offset.</v>
          </cell>
        </row>
        <row r="12">
          <cell r="A12" t="str">
            <v>rows - The number of rows, up or down, that the user wants to offset from the reference.</v>
          </cell>
        </row>
        <row r="13">
          <cell r="A13" t="str">
            <v xml:space="preserve">              It can be positive (below the origin) or negative (above the origin)</v>
          </cell>
        </row>
        <row r="15">
          <cell r="A15" t="str">
            <v>Cols - the number of columns that the user wants to offset from the reference point. Columns can be positive (to the right if the origin) or negative (to the left of the origin)</v>
          </cell>
        </row>
        <row r="17">
          <cell r="A17" t="str">
            <v>height- It can only be a positive number. The height in  number of rows that the user wants to returned the reference to be.</v>
          </cell>
        </row>
        <row r="19">
          <cell r="A19" t="str">
            <v>width- The width is in the number of columns that the user wants to returned the reference to be. It can only be a positive number.</v>
          </cell>
        </row>
        <row r="22">
          <cell r="A22" t="str">
            <v>Security Code</v>
          </cell>
          <cell r="B22" t="str">
            <v>Security Name</v>
          </cell>
          <cell r="C22" t="str">
            <v>Security Group</v>
          </cell>
          <cell r="D22" t="str">
            <v>Open</v>
          </cell>
          <cell r="E22" t="str">
            <v>High</v>
          </cell>
          <cell r="F22" t="str">
            <v>Low</v>
          </cell>
          <cell r="G22" t="str">
            <v>LTP</v>
          </cell>
          <cell r="H22" t="str">
            <v>No. of Shares Traded</v>
          </cell>
          <cell r="I22" t="str">
            <v>Total Turnover (Lac)</v>
          </cell>
          <cell r="J22" t="str">
            <v>No. of Trades</v>
          </cell>
        </row>
        <row r="23">
          <cell r="A23">
            <v>504084</v>
          </cell>
        </row>
        <row r="24">
          <cell r="A24">
            <v>500488</v>
          </cell>
        </row>
        <row r="25">
          <cell r="A25">
            <v>532830</v>
          </cell>
        </row>
        <row r="26">
          <cell r="A26">
            <v>505537</v>
          </cell>
        </row>
        <row r="27">
          <cell r="A27">
            <v>532540</v>
          </cell>
        </row>
        <row r="28">
          <cell r="A28">
            <v>500490</v>
          </cell>
        </row>
        <row r="29">
          <cell r="A29">
            <v>500209</v>
          </cell>
        </row>
        <row r="30">
          <cell r="A30">
            <v>532689</v>
          </cell>
        </row>
        <row r="31">
          <cell r="A31">
            <v>500124</v>
          </cell>
        </row>
        <row r="32">
          <cell r="A32">
            <v>500116</v>
          </cell>
        </row>
        <row r="33">
          <cell r="A33">
            <v>530965</v>
          </cell>
        </row>
        <row r="34">
          <cell r="A34">
            <v>500470</v>
          </cell>
        </row>
        <row r="35">
          <cell r="A35">
            <v>500257</v>
          </cell>
        </row>
        <row r="36">
          <cell r="A36">
            <v>535648</v>
          </cell>
        </row>
        <row r="37">
          <cell r="A37">
            <v>512573</v>
          </cell>
        </row>
        <row r="38">
          <cell r="A38">
            <v>534809</v>
          </cell>
        </row>
        <row r="39">
          <cell r="A39">
            <v>500570</v>
          </cell>
        </row>
        <row r="40">
          <cell r="A40">
            <v>524715</v>
          </cell>
        </row>
        <row r="41">
          <cell r="A41">
            <v>532531</v>
          </cell>
        </row>
        <row r="46">
          <cell r="A46" t="str">
            <v>TCS</v>
          </cell>
        </row>
        <row r="47">
          <cell r="A47" t="str">
            <v>TATASTEEL</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F25"/>
  <sheetViews>
    <sheetView showGridLines="0" topLeftCell="C1" workbookViewId="0">
      <selection activeCell="V11" sqref="V11"/>
    </sheetView>
  </sheetViews>
  <sheetFormatPr defaultRowHeight="15"/>
  <cols>
    <col min="2" max="2" width="14.7109375" bestFit="1" customWidth="1"/>
    <col min="3" max="3" width="11.42578125" bestFit="1" customWidth="1"/>
    <col min="4" max="4" width="10.28515625" bestFit="1" customWidth="1"/>
    <col min="5" max="5" width="12.7109375" bestFit="1" customWidth="1"/>
    <col min="6" max="6" width="16.140625" bestFit="1" customWidth="1"/>
    <col min="7" max="7" width="11.28515625" bestFit="1" customWidth="1"/>
    <col min="8" max="8" width="11.85546875" bestFit="1" customWidth="1"/>
    <col min="9" max="9" width="12.42578125" bestFit="1" customWidth="1"/>
    <col min="10" max="10" width="12.85546875" bestFit="1" customWidth="1"/>
    <col min="11" max="11" width="12.140625" bestFit="1" customWidth="1"/>
    <col min="12" max="12" width="16.28515625" bestFit="1" customWidth="1"/>
    <col min="13" max="13" width="13.140625" bestFit="1" customWidth="1"/>
    <col min="14" max="14" width="13.42578125" bestFit="1" customWidth="1"/>
    <col min="19" max="19" width="12.5703125" bestFit="1" customWidth="1"/>
  </cols>
  <sheetData>
    <row r="1" spans="1:32" s="66" customFormat="1" ht="15.75">
      <c r="A1" s="62" t="s">
        <v>28</v>
      </c>
      <c r="B1" s="62" t="s">
        <v>29</v>
      </c>
      <c r="C1" s="62" t="s">
        <v>30</v>
      </c>
      <c r="D1" s="62" t="s">
        <v>31</v>
      </c>
      <c r="E1" s="62" t="s">
        <v>32</v>
      </c>
      <c r="F1" s="62" t="s">
        <v>33</v>
      </c>
      <c r="G1" s="62" t="s">
        <v>34</v>
      </c>
      <c r="H1" s="62" t="s">
        <v>231</v>
      </c>
      <c r="I1" s="62" t="s">
        <v>201</v>
      </c>
      <c r="J1" s="62" t="s">
        <v>232</v>
      </c>
      <c r="K1" s="62" t="s">
        <v>233</v>
      </c>
      <c r="L1" s="62" t="s">
        <v>63</v>
      </c>
      <c r="M1" s="62" t="s">
        <v>64</v>
      </c>
      <c r="N1" s="62" t="s">
        <v>65</v>
      </c>
      <c r="O1" s="62" t="s">
        <v>67</v>
      </c>
      <c r="P1" s="62" t="s">
        <v>234</v>
      </c>
      <c r="Q1" s="63" t="s">
        <v>235</v>
      </c>
      <c r="R1" s="62" t="s">
        <v>68</v>
      </c>
      <c r="S1" s="62" t="s">
        <v>236</v>
      </c>
      <c r="T1" s="62" t="s">
        <v>328</v>
      </c>
      <c r="U1" s="65"/>
      <c r="V1" s="65"/>
      <c r="W1" s="64"/>
      <c r="X1" s="64"/>
      <c r="Y1" s="64"/>
      <c r="Z1" s="64"/>
      <c r="AA1" s="65"/>
      <c r="AB1" s="65"/>
      <c r="AC1" s="65"/>
      <c r="AD1" s="65"/>
      <c r="AE1" s="65"/>
      <c r="AF1" s="65" t="s">
        <v>237</v>
      </c>
    </row>
    <row r="2" spans="1:32">
      <c r="A2" s="67">
        <v>6100</v>
      </c>
      <c r="B2" s="67" t="s">
        <v>39</v>
      </c>
      <c r="C2" s="68">
        <v>42998</v>
      </c>
      <c r="D2" s="68">
        <v>43004</v>
      </c>
      <c r="E2" s="67" t="s">
        <v>40</v>
      </c>
      <c r="F2" s="67" t="s">
        <v>41</v>
      </c>
      <c r="G2" s="67" t="s">
        <v>227</v>
      </c>
      <c r="H2" s="67" t="s">
        <v>238</v>
      </c>
      <c r="I2" s="67" t="s">
        <v>239</v>
      </c>
      <c r="J2" s="67" t="s">
        <v>240</v>
      </c>
      <c r="K2" s="67">
        <v>10035</v>
      </c>
      <c r="L2" s="67" t="s">
        <v>241</v>
      </c>
      <c r="M2" s="67" t="s">
        <v>70</v>
      </c>
      <c r="N2" s="67" t="s">
        <v>74</v>
      </c>
      <c r="O2" s="67">
        <v>2888.1270000000004</v>
      </c>
      <c r="P2" s="67">
        <v>11</v>
      </c>
      <c r="Q2" s="69">
        <v>0.1</v>
      </c>
      <c r="R2" s="67">
        <v>609.71569999999997</v>
      </c>
      <c r="S2" s="67" t="s">
        <v>242</v>
      </c>
      <c r="T2" s="75">
        <f>YEAR(C2:C25)</f>
        <v>2017</v>
      </c>
      <c r="U2" s="70"/>
      <c r="V2" s="70"/>
      <c r="W2" s="70"/>
      <c r="X2" s="70"/>
      <c r="Y2" s="70"/>
      <c r="Z2" s="70"/>
      <c r="AA2" s="70"/>
      <c r="AB2" s="70"/>
      <c r="AC2" s="70"/>
      <c r="AD2" s="70"/>
      <c r="AE2" s="70"/>
      <c r="AF2" s="71" t="str">
        <f>IF(J2="Florida",IF(M2="Technology",IF(O2&gt;300,"A","B"),""),"")</f>
        <v/>
      </c>
    </row>
    <row r="3" spans="1:32">
      <c r="A3" s="67">
        <v>6117</v>
      </c>
      <c r="B3" s="67" t="s">
        <v>46</v>
      </c>
      <c r="C3" s="68">
        <v>42687</v>
      </c>
      <c r="D3" s="68">
        <v>42693</v>
      </c>
      <c r="E3" s="67" t="s">
        <v>40</v>
      </c>
      <c r="F3" s="67" t="s">
        <v>47</v>
      </c>
      <c r="G3" s="67" t="s">
        <v>228</v>
      </c>
      <c r="H3" s="67" t="s">
        <v>238</v>
      </c>
      <c r="I3" s="67" t="s">
        <v>239</v>
      </c>
      <c r="J3" s="67" t="s">
        <v>240</v>
      </c>
      <c r="K3" s="67">
        <v>10011</v>
      </c>
      <c r="L3" s="67" t="s">
        <v>243</v>
      </c>
      <c r="M3" s="67" t="s">
        <v>104</v>
      </c>
      <c r="N3" s="67" t="s">
        <v>105</v>
      </c>
      <c r="O3" s="67">
        <v>2279.96</v>
      </c>
      <c r="P3" s="67">
        <v>4</v>
      </c>
      <c r="Q3" s="69">
        <v>0</v>
      </c>
      <c r="R3" s="67">
        <v>592.78960000000006</v>
      </c>
      <c r="S3" s="67" t="s">
        <v>244</v>
      </c>
      <c r="T3" s="75">
        <f t="shared" ref="T3:T25" si="0">YEAR(C3:C26)</f>
        <v>2016</v>
      </c>
      <c r="U3" s="70"/>
      <c r="V3" s="70"/>
      <c r="W3" s="70"/>
      <c r="X3" s="70"/>
      <c r="Y3" s="70"/>
      <c r="Z3" s="70"/>
      <c r="AA3" s="70"/>
      <c r="AB3" s="70"/>
      <c r="AC3" s="70"/>
      <c r="AD3" s="70"/>
      <c r="AE3" s="70"/>
      <c r="AF3" s="71" t="str">
        <f t="shared" ref="AF3:AF25" si="1">IF(J3="Florida",IF(M3="Technology",IF(O3&gt;300,"A","B"),""),"")</f>
        <v/>
      </c>
    </row>
    <row r="4" spans="1:32">
      <c r="A4" s="67">
        <v>6176</v>
      </c>
      <c r="B4" s="67" t="s">
        <v>48</v>
      </c>
      <c r="C4" s="68">
        <v>42268</v>
      </c>
      <c r="D4" s="68">
        <v>42273</v>
      </c>
      <c r="E4" s="67" t="s">
        <v>40</v>
      </c>
      <c r="F4" s="67" t="s">
        <v>49</v>
      </c>
      <c r="G4" s="67" t="s">
        <v>227</v>
      </c>
      <c r="H4" s="67" t="s">
        <v>238</v>
      </c>
      <c r="I4" s="67" t="s">
        <v>245</v>
      </c>
      <c r="J4" s="67" t="s">
        <v>246</v>
      </c>
      <c r="K4" s="67">
        <v>29203</v>
      </c>
      <c r="L4" s="67" t="s">
        <v>247</v>
      </c>
      <c r="M4" s="67" t="s">
        <v>70</v>
      </c>
      <c r="N4" s="67" t="s">
        <v>74</v>
      </c>
      <c r="O4" s="67">
        <v>1690.04</v>
      </c>
      <c r="P4" s="67">
        <v>4</v>
      </c>
      <c r="Q4" s="69">
        <v>0</v>
      </c>
      <c r="R4" s="67">
        <v>422.51</v>
      </c>
      <c r="S4" s="67" t="s">
        <v>248</v>
      </c>
      <c r="T4" s="75">
        <f t="shared" si="0"/>
        <v>2015</v>
      </c>
      <c r="U4" s="70"/>
      <c r="V4" s="70"/>
      <c r="W4" s="70"/>
      <c r="X4" s="70"/>
      <c r="Y4" s="70"/>
      <c r="Z4" s="70"/>
      <c r="AA4" s="70"/>
      <c r="AB4" s="70"/>
      <c r="AC4" s="70"/>
      <c r="AD4" s="70"/>
      <c r="AE4" s="70"/>
      <c r="AF4" s="71" t="str">
        <f t="shared" si="1"/>
        <v/>
      </c>
    </row>
    <row r="5" spans="1:32">
      <c r="A5" s="67">
        <v>6102</v>
      </c>
      <c r="B5" s="67" t="s">
        <v>39</v>
      </c>
      <c r="C5" s="68">
        <v>42998</v>
      </c>
      <c r="D5" s="68">
        <v>43004</v>
      </c>
      <c r="E5" s="67" t="s">
        <v>40</v>
      </c>
      <c r="F5" s="67" t="s">
        <v>41</v>
      </c>
      <c r="G5" s="67" t="s">
        <v>227</v>
      </c>
      <c r="H5" s="67" t="s">
        <v>238</v>
      </c>
      <c r="I5" s="67" t="s">
        <v>239</v>
      </c>
      <c r="J5" s="67" t="s">
        <v>240</v>
      </c>
      <c r="K5" s="67">
        <v>10035</v>
      </c>
      <c r="L5" s="67" t="s">
        <v>249</v>
      </c>
      <c r="M5" s="67" t="s">
        <v>70</v>
      </c>
      <c r="N5" s="67" t="s">
        <v>74</v>
      </c>
      <c r="O5" s="67">
        <v>2254.41</v>
      </c>
      <c r="P5" s="67">
        <v>5</v>
      </c>
      <c r="Q5" s="69">
        <v>0.1</v>
      </c>
      <c r="R5" s="67">
        <v>375.73500000000001</v>
      </c>
      <c r="S5" s="67" t="s">
        <v>242</v>
      </c>
      <c r="T5" s="75">
        <f t="shared" si="0"/>
        <v>2017</v>
      </c>
      <c r="U5" s="70"/>
      <c r="V5" s="70"/>
      <c r="W5" s="70"/>
      <c r="X5" s="70"/>
      <c r="Y5" s="70"/>
      <c r="Z5" s="70"/>
      <c r="AA5" s="70"/>
      <c r="AB5" s="70"/>
      <c r="AC5" s="70"/>
      <c r="AD5" s="70"/>
      <c r="AE5" s="70"/>
      <c r="AF5" s="71" t="str">
        <f t="shared" si="1"/>
        <v/>
      </c>
    </row>
    <row r="6" spans="1:32">
      <c r="A6" s="67">
        <v>6015</v>
      </c>
      <c r="B6" s="67" t="s">
        <v>35</v>
      </c>
      <c r="C6" s="68">
        <v>42439</v>
      </c>
      <c r="D6" s="68">
        <v>42440</v>
      </c>
      <c r="E6" s="67" t="s">
        <v>36</v>
      </c>
      <c r="F6" s="67" t="s">
        <v>37</v>
      </c>
      <c r="G6" s="67" t="s">
        <v>228</v>
      </c>
      <c r="H6" s="67" t="s">
        <v>238</v>
      </c>
      <c r="I6" s="67" t="s">
        <v>124</v>
      </c>
      <c r="J6" s="67" t="s">
        <v>250</v>
      </c>
      <c r="K6" s="67">
        <v>90008</v>
      </c>
      <c r="L6" s="67" t="s">
        <v>251</v>
      </c>
      <c r="M6" s="67" t="s">
        <v>104</v>
      </c>
      <c r="N6" s="67" t="s">
        <v>105</v>
      </c>
      <c r="O6" s="67">
        <v>4158.9120000000003</v>
      </c>
      <c r="P6" s="67">
        <v>8</v>
      </c>
      <c r="Q6" s="69">
        <v>0.2</v>
      </c>
      <c r="R6" s="67">
        <v>363.90480000000025</v>
      </c>
      <c r="S6" s="67" t="s">
        <v>252</v>
      </c>
      <c r="T6" s="75">
        <f t="shared" si="0"/>
        <v>2016</v>
      </c>
      <c r="U6" s="70"/>
      <c r="V6" s="70"/>
      <c r="W6" s="70"/>
      <c r="X6" s="70"/>
      <c r="Y6" s="70"/>
      <c r="Z6" s="70"/>
      <c r="AA6" s="70"/>
      <c r="AB6" s="70"/>
      <c r="AC6" s="70"/>
      <c r="AD6" s="70"/>
      <c r="AE6" s="70"/>
      <c r="AF6" s="71" t="str">
        <f t="shared" si="1"/>
        <v/>
      </c>
    </row>
    <row r="7" spans="1:32">
      <c r="A7" s="67">
        <v>6101</v>
      </c>
      <c r="B7" s="67" t="s">
        <v>39</v>
      </c>
      <c r="C7" s="68">
        <v>42998</v>
      </c>
      <c r="D7" s="68">
        <v>43004</v>
      </c>
      <c r="E7" s="67" t="s">
        <v>40</v>
      </c>
      <c r="F7" s="67" t="s">
        <v>41</v>
      </c>
      <c r="G7" s="67" t="s">
        <v>227</v>
      </c>
      <c r="H7" s="67" t="s">
        <v>238</v>
      </c>
      <c r="I7" s="67" t="s">
        <v>239</v>
      </c>
      <c r="J7" s="67" t="s">
        <v>240</v>
      </c>
      <c r="K7" s="67">
        <v>10035</v>
      </c>
      <c r="L7" s="67" t="s">
        <v>251</v>
      </c>
      <c r="M7" s="67" t="s">
        <v>104</v>
      </c>
      <c r="N7" s="67" t="s">
        <v>105</v>
      </c>
      <c r="O7" s="67">
        <v>1299.6600000000001</v>
      </c>
      <c r="P7" s="67">
        <v>2</v>
      </c>
      <c r="Q7" s="69">
        <v>0</v>
      </c>
      <c r="R7" s="67">
        <v>350.90820000000008</v>
      </c>
      <c r="S7" s="67" t="s">
        <v>242</v>
      </c>
      <c r="T7" s="75">
        <f t="shared" si="0"/>
        <v>2017</v>
      </c>
      <c r="U7" s="70"/>
      <c r="V7" s="70"/>
      <c r="W7" s="70"/>
      <c r="X7" s="70"/>
      <c r="Y7" s="70"/>
      <c r="Z7" s="70"/>
      <c r="AA7" s="70"/>
      <c r="AB7" s="70"/>
      <c r="AC7" s="70"/>
      <c r="AD7" s="70"/>
      <c r="AE7" s="70"/>
      <c r="AF7" s="71" t="str">
        <f t="shared" si="1"/>
        <v/>
      </c>
    </row>
    <row r="8" spans="1:32">
      <c r="A8" s="67">
        <v>6011</v>
      </c>
      <c r="B8" s="67" t="s">
        <v>43</v>
      </c>
      <c r="C8" s="68">
        <v>42368</v>
      </c>
      <c r="D8" s="68">
        <v>42372</v>
      </c>
      <c r="E8" s="67" t="s">
        <v>40</v>
      </c>
      <c r="F8" s="67" t="s">
        <v>44</v>
      </c>
      <c r="G8" s="67" t="s">
        <v>227</v>
      </c>
      <c r="H8" s="67" t="s">
        <v>238</v>
      </c>
      <c r="I8" s="67" t="s">
        <v>124</v>
      </c>
      <c r="J8" s="67" t="s">
        <v>250</v>
      </c>
      <c r="K8" s="67">
        <v>90049</v>
      </c>
      <c r="L8" s="67" t="s">
        <v>253</v>
      </c>
      <c r="M8" s="67" t="s">
        <v>104</v>
      </c>
      <c r="N8" s="67" t="s">
        <v>254</v>
      </c>
      <c r="O8" s="67">
        <v>2548.5600000000004</v>
      </c>
      <c r="P8" s="67">
        <v>6</v>
      </c>
      <c r="Q8" s="69">
        <v>0.2</v>
      </c>
      <c r="R8" s="67">
        <v>286.71299999999962</v>
      </c>
      <c r="S8" s="67" t="s">
        <v>255</v>
      </c>
      <c r="T8" s="75">
        <f t="shared" si="0"/>
        <v>2015</v>
      </c>
      <c r="U8" s="70"/>
      <c r="V8" s="70"/>
      <c r="W8" s="70"/>
      <c r="X8" s="70"/>
      <c r="Y8" s="70"/>
      <c r="Z8" s="70"/>
      <c r="AA8" s="70"/>
      <c r="AB8" s="70"/>
      <c r="AC8" s="70"/>
      <c r="AD8" s="70"/>
      <c r="AE8" s="70"/>
      <c r="AF8" s="71" t="str">
        <f t="shared" si="1"/>
        <v/>
      </c>
    </row>
    <row r="9" spans="1:32">
      <c r="A9" s="67">
        <v>6175</v>
      </c>
      <c r="B9" s="67" t="s">
        <v>256</v>
      </c>
      <c r="C9" s="68">
        <v>41853</v>
      </c>
      <c r="D9" s="68">
        <v>41859</v>
      </c>
      <c r="E9" s="67" t="s">
        <v>40</v>
      </c>
      <c r="F9" s="67" t="s">
        <v>257</v>
      </c>
      <c r="G9" s="67" t="s">
        <v>228</v>
      </c>
      <c r="H9" s="67" t="s">
        <v>238</v>
      </c>
      <c r="I9" s="67" t="s">
        <v>258</v>
      </c>
      <c r="J9" s="67" t="s">
        <v>259</v>
      </c>
      <c r="K9" s="67">
        <v>65807</v>
      </c>
      <c r="L9" s="67" t="s">
        <v>260</v>
      </c>
      <c r="M9" s="67" t="s">
        <v>77</v>
      </c>
      <c r="N9" s="67" t="s">
        <v>84</v>
      </c>
      <c r="O9" s="67">
        <v>838.38</v>
      </c>
      <c r="P9" s="67">
        <v>2</v>
      </c>
      <c r="Q9" s="69">
        <v>0</v>
      </c>
      <c r="R9" s="67">
        <v>226.36260000000004</v>
      </c>
      <c r="S9" s="67" t="s">
        <v>261</v>
      </c>
      <c r="T9" s="75">
        <f t="shared" si="0"/>
        <v>2014</v>
      </c>
      <c r="U9" s="70"/>
      <c r="V9" s="70"/>
      <c r="W9" s="70"/>
      <c r="X9" s="70"/>
      <c r="Y9" s="70"/>
      <c r="Z9" s="70"/>
      <c r="AA9" s="70"/>
      <c r="AB9" s="70"/>
      <c r="AC9" s="70"/>
      <c r="AD9" s="70"/>
      <c r="AE9" s="70"/>
      <c r="AF9" s="71" t="str">
        <f t="shared" si="1"/>
        <v/>
      </c>
    </row>
    <row r="10" spans="1:32">
      <c r="A10" s="67">
        <v>6063</v>
      </c>
      <c r="B10" s="67" t="s">
        <v>262</v>
      </c>
      <c r="C10" s="68">
        <v>42363</v>
      </c>
      <c r="D10" s="68">
        <v>42368</v>
      </c>
      <c r="E10" s="67" t="s">
        <v>263</v>
      </c>
      <c r="F10" s="67" t="s">
        <v>264</v>
      </c>
      <c r="G10" s="67" t="s">
        <v>227</v>
      </c>
      <c r="H10" s="67" t="s">
        <v>238</v>
      </c>
      <c r="I10" s="67" t="s">
        <v>265</v>
      </c>
      <c r="J10" s="67" t="s">
        <v>250</v>
      </c>
      <c r="K10" s="67">
        <v>92037</v>
      </c>
      <c r="L10" s="67" t="s">
        <v>266</v>
      </c>
      <c r="M10" s="67" t="s">
        <v>104</v>
      </c>
      <c r="N10" s="67" t="s">
        <v>267</v>
      </c>
      <c r="O10" s="67">
        <v>1199.96</v>
      </c>
      <c r="P10" s="67">
        <v>5</v>
      </c>
      <c r="Q10" s="69">
        <v>0.2</v>
      </c>
      <c r="R10" s="67">
        <v>224.99249999999995</v>
      </c>
      <c r="S10" s="67" t="s">
        <v>268</v>
      </c>
      <c r="T10" s="75">
        <f t="shared" si="0"/>
        <v>2015</v>
      </c>
      <c r="U10" s="70"/>
      <c r="V10" s="70"/>
      <c r="W10" s="70"/>
      <c r="X10" s="70"/>
      <c r="Y10" s="70"/>
      <c r="Z10" s="70"/>
      <c r="AA10" s="70"/>
      <c r="AB10" s="70"/>
      <c r="AC10" s="70"/>
      <c r="AD10" s="70"/>
      <c r="AE10" s="70"/>
      <c r="AF10" s="71" t="str">
        <f t="shared" si="1"/>
        <v/>
      </c>
    </row>
    <row r="11" spans="1:32">
      <c r="A11" s="67">
        <v>6191</v>
      </c>
      <c r="B11" s="67" t="s">
        <v>269</v>
      </c>
      <c r="C11" s="68">
        <v>42728</v>
      </c>
      <c r="D11" s="68">
        <v>42732</v>
      </c>
      <c r="E11" s="67" t="s">
        <v>40</v>
      </c>
      <c r="F11" s="67" t="s">
        <v>270</v>
      </c>
      <c r="G11" s="67" t="s">
        <v>227</v>
      </c>
      <c r="H11" s="67" t="s">
        <v>238</v>
      </c>
      <c r="I11" s="67" t="s">
        <v>239</v>
      </c>
      <c r="J11" s="67" t="s">
        <v>240</v>
      </c>
      <c r="K11" s="67">
        <v>10035</v>
      </c>
      <c r="L11" s="67" t="s">
        <v>271</v>
      </c>
      <c r="M11" s="67" t="s">
        <v>70</v>
      </c>
      <c r="N11" s="67" t="s">
        <v>100</v>
      </c>
      <c r="O11" s="67">
        <v>799.56000000000006</v>
      </c>
      <c r="P11" s="67">
        <v>9</v>
      </c>
      <c r="Q11" s="69">
        <v>0</v>
      </c>
      <c r="R11" s="67">
        <v>207.88559999999998</v>
      </c>
      <c r="S11" s="67" t="s">
        <v>272</v>
      </c>
      <c r="T11" s="75">
        <f t="shared" si="0"/>
        <v>2016</v>
      </c>
      <c r="U11" s="70"/>
      <c r="V11" s="70"/>
      <c r="W11" s="70"/>
      <c r="X11" s="70"/>
      <c r="Y11" s="70"/>
      <c r="Z11" s="70"/>
      <c r="AA11" s="70"/>
      <c r="AB11" s="70"/>
      <c r="AC11" s="70"/>
      <c r="AD11" s="70"/>
      <c r="AE11" s="70"/>
      <c r="AF11" s="71" t="str">
        <f t="shared" si="1"/>
        <v/>
      </c>
    </row>
    <row r="12" spans="1:32">
      <c r="A12" s="67">
        <v>6077</v>
      </c>
      <c r="B12" s="67" t="s">
        <v>273</v>
      </c>
      <c r="C12" s="68">
        <v>42614</v>
      </c>
      <c r="D12" s="68">
        <v>42620</v>
      </c>
      <c r="E12" s="67" t="s">
        <v>40</v>
      </c>
      <c r="F12" s="67" t="s">
        <v>274</v>
      </c>
      <c r="G12" s="67" t="s">
        <v>227</v>
      </c>
      <c r="H12" s="67" t="s">
        <v>238</v>
      </c>
      <c r="I12" s="67" t="s">
        <v>239</v>
      </c>
      <c r="J12" s="67" t="s">
        <v>240</v>
      </c>
      <c r="K12" s="67">
        <v>10011</v>
      </c>
      <c r="L12" s="67" t="s">
        <v>275</v>
      </c>
      <c r="M12" s="67" t="s">
        <v>104</v>
      </c>
      <c r="N12" s="67" t="s">
        <v>276</v>
      </c>
      <c r="O12" s="67">
        <v>468.90000000000003</v>
      </c>
      <c r="P12" s="67">
        <v>6</v>
      </c>
      <c r="Q12" s="69">
        <v>0</v>
      </c>
      <c r="R12" s="67">
        <v>206.31600000000006</v>
      </c>
      <c r="S12" s="67" t="s">
        <v>277</v>
      </c>
      <c r="T12" s="75">
        <f t="shared" si="0"/>
        <v>2016</v>
      </c>
      <c r="U12" s="70"/>
      <c r="V12" s="70"/>
      <c r="W12" s="70"/>
      <c r="X12" s="70"/>
      <c r="Y12" s="70"/>
      <c r="Z12" s="70"/>
      <c r="AA12" s="70"/>
      <c r="AB12" s="70"/>
      <c r="AC12" s="70"/>
      <c r="AD12" s="70"/>
      <c r="AE12" s="70"/>
      <c r="AF12" s="71" t="str">
        <f t="shared" si="1"/>
        <v/>
      </c>
    </row>
    <row r="13" spans="1:32">
      <c r="A13" s="67">
        <v>6042</v>
      </c>
      <c r="B13" s="67" t="s">
        <v>278</v>
      </c>
      <c r="C13" s="68">
        <v>43002</v>
      </c>
      <c r="D13" s="68">
        <v>43007</v>
      </c>
      <c r="E13" s="67" t="s">
        <v>40</v>
      </c>
      <c r="F13" s="67" t="s">
        <v>279</v>
      </c>
      <c r="G13" s="67" t="s">
        <v>229</v>
      </c>
      <c r="H13" s="67" t="s">
        <v>238</v>
      </c>
      <c r="I13" s="67" t="s">
        <v>124</v>
      </c>
      <c r="J13" s="67" t="s">
        <v>250</v>
      </c>
      <c r="K13" s="67">
        <v>90008</v>
      </c>
      <c r="L13" s="67" t="s">
        <v>280</v>
      </c>
      <c r="M13" s="67" t="s">
        <v>104</v>
      </c>
      <c r="N13" s="67" t="s">
        <v>254</v>
      </c>
      <c r="O13" s="67">
        <v>506.28</v>
      </c>
      <c r="P13" s="67">
        <v>3</v>
      </c>
      <c r="Q13" s="69">
        <v>0.2</v>
      </c>
      <c r="R13" s="67">
        <v>177.19799999999998</v>
      </c>
      <c r="S13" s="67" t="s">
        <v>281</v>
      </c>
      <c r="T13" s="75">
        <f t="shared" si="0"/>
        <v>2017</v>
      </c>
      <c r="U13" s="70"/>
      <c r="V13" s="70"/>
      <c r="W13" s="70"/>
      <c r="X13" s="70"/>
      <c r="Y13" s="70"/>
      <c r="Z13" s="70"/>
      <c r="AA13" s="70"/>
      <c r="AB13" s="70"/>
      <c r="AC13" s="70"/>
      <c r="AD13" s="70"/>
      <c r="AE13" s="70"/>
      <c r="AF13" s="71" t="str">
        <f t="shared" si="1"/>
        <v/>
      </c>
    </row>
    <row r="14" spans="1:32">
      <c r="A14" s="67">
        <v>6181</v>
      </c>
      <c r="B14" s="67" t="s">
        <v>48</v>
      </c>
      <c r="C14" s="68">
        <v>42268</v>
      </c>
      <c r="D14" s="68">
        <v>42273</v>
      </c>
      <c r="E14" s="67" t="s">
        <v>40</v>
      </c>
      <c r="F14" s="67" t="s">
        <v>49</v>
      </c>
      <c r="G14" s="67" t="s">
        <v>227</v>
      </c>
      <c r="H14" s="67" t="s">
        <v>238</v>
      </c>
      <c r="I14" s="67" t="s">
        <v>245</v>
      </c>
      <c r="J14" s="67" t="s">
        <v>246</v>
      </c>
      <c r="K14" s="67">
        <v>29203</v>
      </c>
      <c r="L14" s="67" t="s">
        <v>282</v>
      </c>
      <c r="M14" s="67" t="s">
        <v>104</v>
      </c>
      <c r="N14" s="67" t="s">
        <v>105</v>
      </c>
      <c r="O14" s="67">
        <v>629.94999999999993</v>
      </c>
      <c r="P14" s="67">
        <v>5</v>
      </c>
      <c r="Q14" s="69">
        <v>0</v>
      </c>
      <c r="R14" s="67">
        <v>176.38600000000002</v>
      </c>
      <c r="S14" s="67" t="s">
        <v>248</v>
      </c>
      <c r="T14" s="75">
        <f t="shared" si="0"/>
        <v>2015</v>
      </c>
      <c r="U14" s="70"/>
      <c r="V14" s="70"/>
      <c r="W14" s="70"/>
      <c r="X14" s="70"/>
      <c r="Y14" s="70"/>
      <c r="Z14" s="70"/>
      <c r="AA14" s="70"/>
      <c r="AB14" s="70"/>
      <c r="AC14" s="70"/>
      <c r="AD14" s="70"/>
      <c r="AE14" s="70"/>
      <c r="AF14" s="71" t="str">
        <f t="shared" si="1"/>
        <v/>
      </c>
    </row>
    <row r="15" spans="1:32">
      <c r="A15" s="67">
        <v>6047</v>
      </c>
      <c r="B15" s="67" t="s">
        <v>283</v>
      </c>
      <c r="C15" s="68">
        <v>42530</v>
      </c>
      <c r="D15" s="68">
        <v>42537</v>
      </c>
      <c r="E15" s="67" t="s">
        <v>40</v>
      </c>
      <c r="F15" s="67" t="s">
        <v>284</v>
      </c>
      <c r="G15" s="67" t="s">
        <v>228</v>
      </c>
      <c r="H15" s="67" t="s">
        <v>238</v>
      </c>
      <c r="I15" s="67" t="s">
        <v>285</v>
      </c>
      <c r="J15" s="67" t="s">
        <v>286</v>
      </c>
      <c r="K15" s="67">
        <v>55407</v>
      </c>
      <c r="L15" s="67" t="s">
        <v>287</v>
      </c>
      <c r="M15" s="67" t="s">
        <v>70</v>
      </c>
      <c r="N15" s="67" t="s">
        <v>81</v>
      </c>
      <c r="O15" s="67">
        <v>692.93999999999994</v>
      </c>
      <c r="P15" s="67">
        <v>3</v>
      </c>
      <c r="Q15" s="69">
        <v>0</v>
      </c>
      <c r="R15" s="67">
        <v>173.23500000000001</v>
      </c>
      <c r="S15" s="67" t="s">
        <v>288</v>
      </c>
      <c r="T15" s="75">
        <f t="shared" si="0"/>
        <v>2016</v>
      </c>
      <c r="U15" s="70"/>
      <c r="V15" s="70"/>
      <c r="W15" s="70"/>
      <c r="X15" s="70"/>
      <c r="Y15" s="70"/>
      <c r="Z15" s="70"/>
      <c r="AA15" s="70"/>
      <c r="AB15" s="70"/>
      <c r="AC15" s="70"/>
      <c r="AD15" s="70"/>
      <c r="AE15" s="70"/>
      <c r="AF15" s="71" t="str">
        <f t="shared" si="1"/>
        <v/>
      </c>
    </row>
    <row r="16" spans="1:32">
      <c r="A16" s="67">
        <v>6132</v>
      </c>
      <c r="B16" s="67" t="s">
        <v>289</v>
      </c>
      <c r="C16" s="68">
        <v>42000</v>
      </c>
      <c r="D16" s="68">
        <v>42004</v>
      </c>
      <c r="E16" s="67" t="s">
        <v>40</v>
      </c>
      <c r="F16" s="67" t="s">
        <v>290</v>
      </c>
      <c r="G16" s="67" t="s">
        <v>228</v>
      </c>
      <c r="H16" s="67" t="s">
        <v>238</v>
      </c>
      <c r="I16" s="67" t="s">
        <v>239</v>
      </c>
      <c r="J16" s="67" t="s">
        <v>240</v>
      </c>
      <c r="K16" s="67">
        <v>10011</v>
      </c>
      <c r="L16" s="67" t="s">
        <v>291</v>
      </c>
      <c r="M16" s="67" t="s">
        <v>70</v>
      </c>
      <c r="N16" s="67" t="s">
        <v>74</v>
      </c>
      <c r="O16" s="67">
        <v>767.21400000000006</v>
      </c>
      <c r="P16" s="67">
        <v>14</v>
      </c>
      <c r="Q16" s="69">
        <v>0.1</v>
      </c>
      <c r="R16" s="67">
        <v>161.96739999999997</v>
      </c>
      <c r="S16" s="67" t="s">
        <v>292</v>
      </c>
      <c r="T16" s="75">
        <f t="shared" si="0"/>
        <v>2014</v>
      </c>
      <c r="U16" s="70"/>
      <c r="V16" s="70"/>
      <c r="W16" s="70"/>
      <c r="X16" s="70"/>
      <c r="Y16" s="70"/>
      <c r="Z16" s="70"/>
      <c r="AA16" s="70"/>
      <c r="AB16" s="70"/>
      <c r="AC16" s="70"/>
      <c r="AD16" s="70"/>
      <c r="AE16" s="70"/>
      <c r="AF16" s="71" t="str">
        <f t="shared" si="1"/>
        <v/>
      </c>
    </row>
    <row r="17" spans="1:32">
      <c r="A17" s="67">
        <v>6141</v>
      </c>
      <c r="B17" s="67" t="s">
        <v>293</v>
      </c>
      <c r="C17" s="68">
        <v>42925</v>
      </c>
      <c r="D17" s="68">
        <v>42931</v>
      </c>
      <c r="E17" s="67" t="s">
        <v>40</v>
      </c>
      <c r="F17" s="67" t="s">
        <v>294</v>
      </c>
      <c r="G17" s="67" t="s">
        <v>227</v>
      </c>
      <c r="H17" s="67" t="s">
        <v>238</v>
      </c>
      <c r="I17" s="67" t="s">
        <v>295</v>
      </c>
      <c r="J17" s="67" t="s">
        <v>296</v>
      </c>
      <c r="K17" s="67">
        <v>6040</v>
      </c>
      <c r="L17" s="67" t="s">
        <v>297</v>
      </c>
      <c r="M17" s="67" t="s">
        <v>77</v>
      </c>
      <c r="N17" s="67" t="s">
        <v>298</v>
      </c>
      <c r="O17" s="67">
        <v>274.8</v>
      </c>
      <c r="P17" s="67">
        <v>5</v>
      </c>
      <c r="Q17" s="69">
        <v>0</v>
      </c>
      <c r="R17" s="67">
        <v>134.65199999999999</v>
      </c>
      <c r="S17" s="67" t="s">
        <v>299</v>
      </c>
      <c r="T17" s="75">
        <f t="shared" si="0"/>
        <v>2017</v>
      </c>
      <c r="U17" s="70"/>
      <c r="V17" s="70"/>
      <c r="W17" s="70"/>
      <c r="X17" s="70"/>
      <c r="Y17" s="70"/>
      <c r="Z17" s="70"/>
      <c r="AA17" s="70"/>
      <c r="AB17" s="70"/>
      <c r="AC17" s="70"/>
      <c r="AD17" s="70"/>
      <c r="AE17" s="70"/>
      <c r="AF17" s="71" t="str">
        <f t="shared" si="1"/>
        <v/>
      </c>
    </row>
    <row r="18" spans="1:32">
      <c r="A18" s="67">
        <v>6012</v>
      </c>
      <c r="B18" s="67" t="s">
        <v>43</v>
      </c>
      <c r="C18" s="68">
        <v>42368</v>
      </c>
      <c r="D18" s="68">
        <v>42372</v>
      </c>
      <c r="E18" s="67" t="s">
        <v>40</v>
      </c>
      <c r="F18" s="67" t="s">
        <v>44</v>
      </c>
      <c r="G18" s="67" t="s">
        <v>227</v>
      </c>
      <c r="H18" s="67" t="s">
        <v>238</v>
      </c>
      <c r="I18" s="67" t="s">
        <v>124</v>
      </c>
      <c r="J18" s="67" t="s">
        <v>250</v>
      </c>
      <c r="K18" s="67">
        <v>90049</v>
      </c>
      <c r="L18" s="67" t="s">
        <v>300</v>
      </c>
      <c r="M18" s="67" t="s">
        <v>77</v>
      </c>
      <c r="N18" s="67" t="s">
        <v>301</v>
      </c>
      <c r="O18" s="67">
        <v>271.44</v>
      </c>
      <c r="P18" s="67">
        <v>3</v>
      </c>
      <c r="Q18" s="69">
        <v>0</v>
      </c>
      <c r="R18" s="67">
        <v>122.148</v>
      </c>
      <c r="S18" s="67" t="s">
        <v>255</v>
      </c>
      <c r="T18" s="75">
        <f t="shared" si="0"/>
        <v>2015</v>
      </c>
      <c r="U18" s="70"/>
      <c r="V18" s="70"/>
      <c r="W18" s="70"/>
      <c r="X18" s="70"/>
      <c r="Y18" s="70"/>
      <c r="Z18" s="70"/>
      <c r="AA18" s="70"/>
      <c r="AB18" s="70"/>
      <c r="AC18" s="70"/>
      <c r="AD18" s="70"/>
      <c r="AE18" s="70"/>
      <c r="AF18" s="71" t="str">
        <f t="shared" si="1"/>
        <v/>
      </c>
    </row>
    <row r="19" spans="1:32">
      <c r="A19" s="67">
        <v>6160</v>
      </c>
      <c r="B19" s="67" t="s">
        <v>302</v>
      </c>
      <c r="C19" s="68">
        <v>42707</v>
      </c>
      <c r="D19" s="68">
        <v>42713</v>
      </c>
      <c r="E19" s="67" t="s">
        <v>40</v>
      </c>
      <c r="F19" s="67" t="s">
        <v>303</v>
      </c>
      <c r="G19" s="67" t="s">
        <v>227</v>
      </c>
      <c r="H19" s="67" t="s">
        <v>238</v>
      </c>
      <c r="I19" s="67" t="s">
        <v>124</v>
      </c>
      <c r="J19" s="67" t="s">
        <v>250</v>
      </c>
      <c r="K19" s="67">
        <v>90049</v>
      </c>
      <c r="L19" s="67" t="s">
        <v>304</v>
      </c>
      <c r="M19" s="67" t="s">
        <v>77</v>
      </c>
      <c r="N19" s="67" t="s">
        <v>84</v>
      </c>
      <c r="O19" s="67">
        <v>772.68</v>
      </c>
      <c r="P19" s="67">
        <v>4</v>
      </c>
      <c r="Q19" s="69">
        <v>0</v>
      </c>
      <c r="R19" s="67">
        <v>108.17520000000002</v>
      </c>
      <c r="S19" s="67" t="s">
        <v>305</v>
      </c>
      <c r="T19" s="75">
        <f t="shared" si="0"/>
        <v>2016</v>
      </c>
      <c r="U19" s="70"/>
      <c r="V19" s="70"/>
      <c r="W19" s="70"/>
      <c r="X19" s="70"/>
      <c r="Y19" s="70"/>
      <c r="Z19" s="70"/>
      <c r="AA19" s="70"/>
      <c r="AB19" s="70"/>
      <c r="AC19" s="70"/>
      <c r="AD19" s="70"/>
      <c r="AE19" s="70"/>
      <c r="AF19" s="71" t="str">
        <f t="shared" si="1"/>
        <v/>
      </c>
    </row>
    <row r="20" spans="1:32">
      <c r="A20" s="67">
        <v>6092</v>
      </c>
      <c r="B20" s="67" t="s">
        <v>39</v>
      </c>
      <c r="C20" s="68">
        <v>42998</v>
      </c>
      <c r="D20" s="68">
        <v>43004</v>
      </c>
      <c r="E20" s="67" t="s">
        <v>40</v>
      </c>
      <c r="F20" s="67" t="s">
        <v>41</v>
      </c>
      <c r="G20" s="67" t="s">
        <v>227</v>
      </c>
      <c r="H20" s="67" t="s">
        <v>238</v>
      </c>
      <c r="I20" s="67" t="s">
        <v>239</v>
      </c>
      <c r="J20" s="67" t="s">
        <v>240</v>
      </c>
      <c r="K20" s="67">
        <v>10035</v>
      </c>
      <c r="L20" s="67" t="s">
        <v>306</v>
      </c>
      <c r="M20" s="67" t="s">
        <v>104</v>
      </c>
      <c r="N20" s="67" t="s">
        <v>276</v>
      </c>
      <c r="O20" s="67">
        <v>212.8</v>
      </c>
      <c r="P20" s="67">
        <v>2</v>
      </c>
      <c r="Q20" s="69">
        <v>0</v>
      </c>
      <c r="R20" s="67">
        <v>95.759999999999991</v>
      </c>
      <c r="S20" s="67" t="s">
        <v>242</v>
      </c>
      <c r="T20" s="75">
        <f t="shared" si="0"/>
        <v>2017</v>
      </c>
      <c r="U20" s="70"/>
      <c r="V20" s="70"/>
      <c r="W20" s="70"/>
      <c r="X20" s="70"/>
      <c r="Y20" s="70"/>
      <c r="Z20" s="70"/>
      <c r="AA20" s="70"/>
      <c r="AB20" s="70"/>
      <c r="AC20" s="70"/>
      <c r="AD20" s="70"/>
      <c r="AE20" s="70"/>
      <c r="AF20" s="71" t="str">
        <f t="shared" si="1"/>
        <v/>
      </c>
    </row>
    <row r="21" spans="1:32">
      <c r="A21" s="67">
        <v>6046</v>
      </c>
      <c r="B21" s="67" t="s">
        <v>307</v>
      </c>
      <c r="C21" s="68">
        <v>42250</v>
      </c>
      <c r="D21" s="68">
        <v>42255</v>
      </c>
      <c r="E21" s="67" t="s">
        <v>40</v>
      </c>
      <c r="F21" s="67" t="s">
        <v>308</v>
      </c>
      <c r="G21" s="67" t="s">
        <v>229</v>
      </c>
      <c r="H21" s="67" t="s">
        <v>238</v>
      </c>
      <c r="I21" s="67" t="s">
        <v>309</v>
      </c>
      <c r="J21" s="67" t="s">
        <v>310</v>
      </c>
      <c r="K21" s="67">
        <v>85705</v>
      </c>
      <c r="L21" s="67" t="s">
        <v>311</v>
      </c>
      <c r="M21" s="67" t="s">
        <v>70</v>
      </c>
      <c r="N21" s="67" t="s">
        <v>100</v>
      </c>
      <c r="O21" s="67">
        <v>238.15200000000004</v>
      </c>
      <c r="P21" s="67">
        <v>3</v>
      </c>
      <c r="Q21" s="69">
        <v>0.2</v>
      </c>
      <c r="R21" s="67">
        <v>89.306999999999988</v>
      </c>
      <c r="S21" s="67" t="s">
        <v>312</v>
      </c>
      <c r="T21" s="75">
        <f t="shared" si="0"/>
        <v>2015</v>
      </c>
      <c r="U21" s="70"/>
      <c r="V21" s="70"/>
      <c r="W21" s="70"/>
      <c r="X21" s="70"/>
      <c r="Y21" s="70"/>
      <c r="Z21" s="70"/>
      <c r="AA21" s="70"/>
      <c r="AB21" s="70"/>
      <c r="AC21" s="70"/>
      <c r="AD21" s="70"/>
      <c r="AE21" s="70"/>
      <c r="AF21" s="71" t="str">
        <f t="shared" si="1"/>
        <v/>
      </c>
    </row>
    <row r="22" spans="1:32">
      <c r="A22" s="67">
        <v>6151</v>
      </c>
      <c r="B22" s="67" t="s">
        <v>313</v>
      </c>
      <c r="C22" s="68">
        <v>42468</v>
      </c>
      <c r="D22" s="68">
        <v>42471</v>
      </c>
      <c r="E22" s="67" t="s">
        <v>36</v>
      </c>
      <c r="F22" s="67" t="s">
        <v>314</v>
      </c>
      <c r="G22" s="67" t="s">
        <v>227</v>
      </c>
      <c r="H22" s="67" t="s">
        <v>238</v>
      </c>
      <c r="I22" s="67" t="s">
        <v>315</v>
      </c>
      <c r="J22" s="67" t="s">
        <v>316</v>
      </c>
      <c r="K22" s="67">
        <v>31907</v>
      </c>
      <c r="L22" s="67" t="s">
        <v>317</v>
      </c>
      <c r="M22" s="67" t="s">
        <v>70</v>
      </c>
      <c r="N22" s="67" t="s">
        <v>71</v>
      </c>
      <c r="O22" s="67">
        <v>354.90000000000003</v>
      </c>
      <c r="P22" s="67">
        <v>5</v>
      </c>
      <c r="Q22" s="69">
        <v>0</v>
      </c>
      <c r="R22" s="67">
        <v>88.725000000000023</v>
      </c>
      <c r="S22" s="67" t="s">
        <v>318</v>
      </c>
      <c r="T22" s="75">
        <f t="shared" si="0"/>
        <v>2016</v>
      </c>
      <c r="U22" s="70"/>
      <c r="V22" s="70"/>
      <c r="W22" s="70"/>
      <c r="X22" s="70"/>
      <c r="Y22" s="70"/>
      <c r="Z22" s="70"/>
      <c r="AA22" s="70"/>
      <c r="AB22" s="70"/>
      <c r="AC22" s="70"/>
      <c r="AD22" s="70"/>
      <c r="AE22" s="70"/>
      <c r="AF22" s="71" t="str">
        <f t="shared" si="1"/>
        <v/>
      </c>
    </row>
    <row r="23" spans="1:32">
      <c r="A23" s="67">
        <v>6052</v>
      </c>
      <c r="B23" s="67" t="s">
        <v>319</v>
      </c>
      <c r="C23" s="68">
        <v>42119</v>
      </c>
      <c r="D23" s="68">
        <v>42124</v>
      </c>
      <c r="E23" s="67" t="s">
        <v>40</v>
      </c>
      <c r="F23" s="67" t="s">
        <v>320</v>
      </c>
      <c r="G23" s="67" t="s">
        <v>227</v>
      </c>
      <c r="H23" s="67" t="s">
        <v>238</v>
      </c>
      <c r="I23" s="67" t="s">
        <v>321</v>
      </c>
      <c r="J23" s="67" t="s">
        <v>322</v>
      </c>
      <c r="K23" s="67">
        <v>53209</v>
      </c>
      <c r="L23" s="67" t="s">
        <v>323</v>
      </c>
      <c r="M23" s="67" t="s">
        <v>77</v>
      </c>
      <c r="N23" s="67" t="s">
        <v>324</v>
      </c>
      <c r="O23" s="67">
        <v>272.39999999999998</v>
      </c>
      <c r="P23" s="67">
        <v>5</v>
      </c>
      <c r="Q23" s="69">
        <v>0</v>
      </c>
      <c r="R23" s="67">
        <v>76.27200000000002</v>
      </c>
      <c r="S23" s="67" t="s">
        <v>325</v>
      </c>
      <c r="T23" s="75">
        <f t="shared" si="0"/>
        <v>2015</v>
      </c>
      <c r="U23" s="70"/>
      <c r="V23" s="70"/>
      <c r="W23" s="70"/>
      <c r="X23" s="70"/>
      <c r="Y23" s="70"/>
      <c r="Z23" s="70"/>
      <c r="AA23" s="70"/>
      <c r="AB23" s="70"/>
      <c r="AC23" s="70"/>
      <c r="AD23" s="70"/>
      <c r="AE23" s="70"/>
      <c r="AF23" s="71" t="str">
        <f t="shared" si="1"/>
        <v/>
      </c>
    </row>
    <row r="24" spans="1:32">
      <c r="A24" s="67">
        <v>6041</v>
      </c>
      <c r="B24" s="67" t="s">
        <v>278</v>
      </c>
      <c r="C24" s="68">
        <v>43002</v>
      </c>
      <c r="D24" s="68">
        <v>43007</v>
      </c>
      <c r="E24" s="67" t="s">
        <v>40</v>
      </c>
      <c r="F24" s="67" t="s">
        <v>279</v>
      </c>
      <c r="G24" s="67" t="s">
        <v>229</v>
      </c>
      <c r="H24" s="67" t="s">
        <v>238</v>
      </c>
      <c r="I24" s="67" t="s">
        <v>124</v>
      </c>
      <c r="J24" s="67" t="s">
        <v>250</v>
      </c>
      <c r="K24" s="67">
        <v>90008</v>
      </c>
      <c r="L24" s="67" t="s">
        <v>326</v>
      </c>
      <c r="M24" s="67" t="s">
        <v>104</v>
      </c>
      <c r="N24" s="67" t="s">
        <v>105</v>
      </c>
      <c r="O24" s="67">
        <v>859.2</v>
      </c>
      <c r="P24" s="67">
        <v>3</v>
      </c>
      <c r="Q24" s="69">
        <v>0.2</v>
      </c>
      <c r="R24" s="67">
        <v>75.180000000000064</v>
      </c>
      <c r="S24" s="67" t="s">
        <v>281</v>
      </c>
      <c r="T24" s="75">
        <f t="shared" si="0"/>
        <v>2017</v>
      </c>
      <c r="U24" s="70"/>
      <c r="V24" s="70"/>
      <c r="W24" s="70"/>
      <c r="X24" s="70"/>
      <c r="Y24" s="70"/>
      <c r="Z24" s="70"/>
      <c r="AA24" s="70"/>
      <c r="AB24" s="70"/>
      <c r="AC24" s="70"/>
      <c r="AD24" s="70"/>
      <c r="AE24" s="70"/>
      <c r="AF24" s="71" t="str">
        <f t="shared" si="1"/>
        <v/>
      </c>
    </row>
    <row r="25" spans="1:32">
      <c r="A25" s="67">
        <v>6143</v>
      </c>
      <c r="B25" s="67" t="s">
        <v>293</v>
      </c>
      <c r="C25" s="68">
        <v>42925</v>
      </c>
      <c r="D25" s="68">
        <v>42931</v>
      </c>
      <c r="E25" s="67" t="s">
        <v>40</v>
      </c>
      <c r="F25" s="67" t="s">
        <v>294</v>
      </c>
      <c r="G25" s="67" t="s">
        <v>227</v>
      </c>
      <c r="H25" s="67" t="s">
        <v>238</v>
      </c>
      <c r="I25" s="67" t="s">
        <v>295</v>
      </c>
      <c r="J25" s="67" t="s">
        <v>296</v>
      </c>
      <c r="K25" s="67">
        <v>6040</v>
      </c>
      <c r="L25" s="67" t="s">
        <v>327</v>
      </c>
      <c r="M25" s="67" t="s">
        <v>104</v>
      </c>
      <c r="N25" s="67" t="s">
        <v>105</v>
      </c>
      <c r="O25" s="67">
        <v>257.98</v>
      </c>
      <c r="P25" s="67">
        <v>2</v>
      </c>
      <c r="Q25" s="69">
        <v>0</v>
      </c>
      <c r="R25" s="67">
        <v>74.8142</v>
      </c>
      <c r="S25" s="67" t="s">
        <v>299</v>
      </c>
      <c r="T25" s="75">
        <f t="shared" si="0"/>
        <v>2017</v>
      </c>
      <c r="U25" s="70"/>
      <c r="V25" s="70"/>
      <c r="W25" s="70"/>
      <c r="X25" s="70"/>
      <c r="Y25" s="70"/>
      <c r="Z25" s="70"/>
      <c r="AA25" s="70"/>
      <c r="AB25" s="70"/>
      <c r="AC25" s="70"/>
      <c r="AD25" s="70"/>
      <c r="AE25" s="70"/>
      <c r="AF25" s="71" t="str">
        <f t="shared" si="1"/>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3"/>
  <sheetViews>
    <sheetView showGridLines="0" topLeftCell="B1" zoomScale="89" workbookViewId="0">
      <selection activeCell="D62" sqref="D62"/>
    </sheetView>
  </sheetViews>
  <sheetFormatPr defaultColWidth="9.140625" defaultRowHeight="15"/>
  <cols>
    <col min="1" max="1" width="7.85546875" style="2" customWidth="1"/>
    <col min="2" max="2" width="19.140625" style="2" customWidth="1"/>
    <col min="3" max="3" width="15.28515625" style="2" bestFit="1" customWidth="1"/>
    <col min="4" max="4" width="14.85546875" style="2" bestFit="1" customWidth="1"/>
    <col min="5" max="5" width="13.85546875" style="2" customWidth="1"/>
    <col min="6" max="6" width="16.7109375" style="2" customWidth="1"/>
    <col min="7" max="7" width="18.28515625" style="2" customWidth="1"/>
    <col min="8" max="16384" width="9.140625" style="2"/>
  </cols>
  <sheetData>
    <row r="1" spans="1:1">
      <c r="A1" s="1" t="s">
        <v>0</v>
      </c>
    </row>
    <row r="3" spans="1:1">
      <c r="A3" s="2" t="s">
        <v>1</v>
      </c>
    </row>
    <row r="5" spans="1:1">
      <c r="A5" s="1" t="s">
        <v>2</v>
      </c>
    </row>
    <row r="6" spans="1:1">
      <c r="A6" s="2" t="s">
        <v>3</v>
      </c>
    </row>
    <row r="7" spans="1:1">
      <c r="A7" s="2" t="s">
        <v>4</v>
      </c>
    </row>
    <row r="8" spans="1:1">
      <c r="A8" s="2" t="s">
        <v>5</v>
      </c>
    </row>
    <row r="9" spans="1:1">
      <c r="A9" s="2" t="s">
        <v>6</v>
      </c>
    </row>
    <row r="11" spans="1:1">
      <c r="A11" s="1" t="s">
        <v>7</v>
      </c>
    </row>
    <row r="12" spans="1:1">
      <c r="A12" s="2" t="s">
        <v>8</v>
      </c>
    </row>
    <row r="13" spans="1:1">
      <c r="A13" s="2" t="s">
        <v>9</v>
      </c>
    </row>
    <row r="14" spans="1:1">
      <c r="A14" s="2" t="s">
        <v>10</v>
      </c>
    </row>
    <row r="16" spans="1:1">
      <c r="A16" s="1" t="s">
        <v>11</v>
      </c>
    </row>
    <row r="18" spans="1:2">
      <c r="A18" s="2" t="s">
        <v>12</v>
      </c>
    </row>
    <row r="20" spans="1:2">
      <c r="A20" s="2" t="s">
        <v>13</v>
      </c>
    </row>
    <row r="29" spans="1:2">
      <c r="A29" s="1" t="s">
        <v>14</v>
      </c>
    </row>
    <row r="30" spans="1:2">
      <c r="A30" s="3" t="s">
        <v>15</v>
      </c>
      <c r="B30" s="3"/>
    </row>
    <row r="32" spans="1:2">
      <c r="A32" s="2" t="s">
        <v>16</v>
      </c>
    </row>
    <row r="33" spans="1:7">
      <c r="A33" s="2" t="s">
        <v>17</v>
      </c>
    </row>
    <row r="34" spans="1:7">
      <c r="A34" s="2" t="s">
        <v>18</v>
      </c>
    </row>
    <row r="35" spans="1:7">
      <c r="A35" s="2" t="s">
        <v>19</v>
      </c>
    </row>
    <row r="36" spans="1:7">
      <c r="A36" s="2" t="s">
        <v>20</v>
      </c>
    </row>
    <row r="37" spans="1:7">
      <c r="A37" s="2" t="s">
        <v>21</v>
      </c>
    </row>
    <row r="38" spans="1:7">
      <c r="A38" s="2" t="s">
        <v>22</v>
      </c>
    </row>
    <row r="39" spans="1:7">
      <c r="A39" s="2" t="s">
        <v>23</v>
      </c>
    </row>
    <row r="40" spans="1:7">
      <c r="A40" s="2" t="s">
        <v>24</v>
      </c>
    </row>
    <row r="41" spans="1:7">
      <c r="A41" s="2" t="s">
        <v>25</v>
      </c>
    </row>
    <row r="42" spans="1:7">
      <c r="A42" s="2" t="s">
        <v>26</v>
      </c>
    </row>
    <row r="45" spans="1:7">
      <c r="A45" s="1" t="s">
        <v>27</v>
      </c>
    </row>
    <row r="46" spans="1:7">
      <c r="A46" s="4" t="s">
        <v>28</v>
      </c>
      <c r="B46" s="4" t="s">
        <v>29</v>
      </c>
      <c r="C46" s="4" t="s">
        <v>30</v>
      </c>
      <c r="D46" s="4" t="s">
        <v>31</v>
      </c>
      <c r="E46" s="4" t="s">
        <v>32</v>
      </c>
      <c r="F46" s="4" t="s">
        <v>33</v>
      </c>
      <c r="G46" s="4" t="s">
        <v>34</v>
      </c>
    </row>
    <row r="47" spans="1:7">
      <c r="A47" s="5">
        <v>6200</v>
      </c>
      <c r="B47" s="5" t="s">
        <v>35</v>
      </c>
      <c r="C47" s="6">
        <v>42439</v>
      </c>
      <c r="D47" s="6">
        <v>42440</v>
      </c>
      <c r="E47" s="5" t="s">
        <v>36</v>
      </c>
      <c r="F47" s="5" t="s">
        <v>37</v>
      </c>
      <c r="G47" s="5" t="s">
        <v>38</v>
      </c>
    </row>
    <row r="48" spans="1:7">
      <c r="A48" s="5">
        <v>6117</v>
      </c>
      <c r="B48" s="5" t="s">
        <v>39</v>
      </c>
      <c r="C48" s="6">
        <v>42998</v>
      </c>
      <c r="D48" s="6">
        <v>43004</v>
      </c>
      <c r="E48" s="5" t="s">
        <v>40</v>
      </c>
      <c r="F48" s="5" t="s">
        <v>41</v>
      </c>
      <c r="G48" s="5" t="s">
        <v>42</v>
      </c>
    </row>
    <row r="49" spans="1:7">
      <c r="A49" s="5">
        <v>6176</v>
      </c>
      <c r="B49" s="5" t="s">
        <v>43</v>
      </c>
      <c r="C49" s="6">
        <v>42368</v>
      </c>
      <c r="D49" s="6">
        <v>42372</v>
      </c>
      <c r="E49" s="5" t="s">
        <v>40</v>
      </c>
      <c r="F49" s="5" t="s">
        <v>44</v>
      </c>
      <c r="G49" s="5" t="s">
        <v>45</v>
      </c>
    </row>
    <row r="50" spans="1:7">
      <c r="A50" s="5">
        <v>6102</v>
      </c>
      <c r="B50" s="5" t="s">
        <v>46</v>
      </c>
      <c r="C50" s="6">
        <v>42687</v>
      </c>
      <c r="D50" s="6">
        <v>42693</v>
      </c>
      <c r="E50" s="5" t="s">
        <v>40</v>
      </c>
      <c r="F50" s="5" t="s">
        <v>47</v>
      </c>
      <c r="G50" s="5" t="s">
        <v>42</v>
      </c>
    </row>
    <row r="51" spans="1:7">
      <c r="A51" s="5">
        <v>6015</v>
      </c>
      <c r="B51" s="5" t="s">
        <v>39</v>
      </c>
      <c r="C51" s="6">
        <v>42998</v>
      </c>
      <c r="D51" s="6">
        <v>43004</v>
      </c>
      <c r="E51" s="5" t="s">
        <v>40</v>
      </c>
      <c r="F51" s="5" t="s">
        <v>41</v>
      </c>
      <c r="G51" s="5" t="s">
        <v>45</v>
      </c>
    </row>
    <row r="52" spans="1:7">
      <c r="A52" s="5">
        <v>6101</v>
      </c>
      <c r="B52" s="5" t="s">
        <v>48</v>
      </c>
      <c r="C52" s="6">
        <v>42268</v>
      </c>
      <c r="D52" s="6">
        <v>42273</v>
      </c>
      <c r="E52" s="5" t="s">
        <v>40</v>
      </c>
      <c r="F52" s="5" t="s">
        <v>49</v>
      </c>
      <c r="G52" s="5" t="s">
        <v>38</v>
      </c>
    </row>
    <row r="53" spans="1:7">
      <c r="A53" s="5">
        <v>6011</v>
      </c>
      <c r="B53" s="5" t="s">
        <v>50</v>
      </c>
      <c r="C53" s="6">
        <v>42686</v>
      </c>
      <c r="D53" s="6">
        <v>42690</v>
      </c>
      <c r="E53" s="5" t="s">
        <v>40</v>
      </c>
      <c r="F53" s="5" t="s">
        <v>51</v>
      </c>
      <c r="G53" s="5" t="s">
        <v>45</v>
      </c>
    </row>
  </sheetData>
  <dataValidations count="1">
    <dataValidation type="list" allowBlank="1" showInputMessage="1" showErrorMessage="1" sqref="G47:G53">
      <formula1>"home office,consumer,corporate"</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sheetPr>
    <outlinePr summaryBelow="0" summaryRight="0"/>
  </sheetPr>
  <dimension ref="A1:Y106"/>
  <sheetViews>
    <sheetView topLeftCell="A84" workbookViewId="0">
      <selection activeCell="B107" sqref="B107"/>
    </sheetView>
  </sheetViews>
  <sheetFormatPr defaultColWidth="12.7109375" defaultRowHeight="15.75" customHeight="1"/>
  <cols>
    <col min="1" max="1" width="63.85546875" style="8" customWidth="1"/>
    <col min="2" max="2" width="28.28515625" style="8" customWidth="1"/>
    <col min="3" max="16384" width="12.7109375" style="8"/>
  </cols>
  <sheetData>
    <row r="1" spans="1:11" ht="15.75" customHeight="1">
      <c r="A1" s="7" t="s">
        <v>52</v>
      </c>
    </row>
    <row r="3" spans="1:11" ht="15.75" customHeight="1">
      <c r="A3" s="78" t="s">
        <v>53</v>
      </c>
      <c r="B3" s="78"/>
      <c r="C3" s="78"/>
      <c r="D3" s="78"/>
    </row>
    <row r="4" spans="1:11" ht="15.75" customHeight="1">
      <c r="A4" s="78" t="s">
        <v>54</v>
      </c>
      <c r="B4" s="78"/>
      <c r="C4" s="78"/>
      <c r="D4" s="78"/>
      <c r="E4" s="78"/>
    </row>
    <row r="6" spans="1:11" ht="15.75" customHeight="1">
      <c r="A6" s="10" t="s">
        <v>55</v>
      </c>
    </row>
    <row r="7" spans="1:11" ht="15.75" customHeight="1">
      <c r="A7" s="79" t="s">
        <v>56</v>
      </c>
      <c r="B7" s="78"/>
      <c r="C7" s="78"/>
      <c r="D7" s="78"/>
    </row>
    <row r="9" spans="1:11" ht="15.75" customHeight="1">
      <c r="A9" s="80" t="s">
        <v>57</v>
      </c>
      <c r="B9" s="78"/>
      <c r="C9" s="78"/>
    </row>
    <row r="10" spans="1:11" ht="15.75" customHeight="1">
      <c r="A10" s="81" t="s">
        <v>58</v>
      </c>
      <c r="B10" s="78"/>
      <c r="C10" s="78"/>
      <c r="D10" s="78"/>
    </row>
    <row r="11" spans="1:11" ht="15.75" customHeight="1">
      <c r="A11" s="11"/>
    </row>
    <row r="12" spans="1:11" ht="15.75" customHeight="1">
      <c r="A12" s="77" t="s">
        <v>59</v>
      </c>
      <c r="B12" s="78"/>
    </row>
    <row r="13" spans="1:11" ht="15.75" customHeight="1">
      <c r="A13" s="78" t="s">
        <v>60</v>
      </c>
      <c r="B13" s="78"/>
      <c r="C13" s="78"/>
      <c r="D13" s="78"/>
      <c r="E13" s="78"/>
      <c r="F13" s="78"/>
    </row>
    <row r="14" spans="1:11" ht="15.75" customHeight="1">
      <c r="A14" s="78" t="s">
        <v>61</v>
      </c>
      <c r="B14" s="78"/>
      <c r="C14" s="78"/>
      <c r="D14" s="78"/>
      <c r="E14" s="78"/>
      <c r="F14" s="78"/>
      <c r="G14" s="78"/>
      <c r="H14" s="78"/>
      <c r="I14" s="78"/>
      <c r="J14" s="78"/>
      <c r="K14" s="78"/>
    </row>
    <row r="15" spans="1:11" ht="15.75" customHeight="1">
      <c r="A15" s="78" t="s">
        <v>62</v>
      </c>
      <c r="B15" s="78"/>
      <c r="C15" s="78"/>
      <c r="D15" s="78"/>
      <c r="E15" s="78"/>
      <c r="F15" s="78"/>
      <c r="G15" s="78"/>
      <c r="H15" s="78"/>
      <c r="I15" s="78"/>
      <c r="J15" s="78"/>
      <c r="K15" s="78"/>
    </row>
    <row r="18" spans="1:25" ht="15.75" customHeight="1">
      <c r="A18" s="12" t="s">
        <v>27</v>
      </c>
    </row>
    <row r="20" spans="1:25" ht="15.75" customHeight="1">
      <c r="A20" s="13" t="s">
        <v>63</v>
      </c>
      <c r="B20" s="13" t="s">
        <v>64</v>
      </c>
      <c r="C20" s="13" t="s">
        <v>65</v>
      </c>
      <c r="D20" s="13" t="s">
        <v>66</v>
      </c>
      <c r="E20" s="13" t="s">
        <v>67</v>
      </c>
      <c r="F20" s="14" t="s">
        <v>68</v>
      </c>
      <c r="G20" s="15"/>
      <c r="H20" s="15"/>
      <c r="I20" s="15"/>
      <c r="J20" s="15"/>
      <c r="K20" s="15"/>
      <c r="L20" s="15"/>
      <c r="M20" s="15"/>
      <c r="N20" s="15"/>
      <c r="O20" s="15"/>
      <c r="P20" s="15"/>
      <c r="Q20" s="15"/>
      <c r="R20" s="15"/>
      <c r="S20" s="15"/>
      <c r="T20" s="15"/>
      <c r="U20" s="15"/>
      <c r="V20" s="15"/>
      <c r="W20" s="15"/>
      <c r="X20" s="15"/>
      <c r="Y20" s="15"/>
    </row>
    <row r="21" spans="1:25" ht="15.75" customHeight="1">
      <c r="A21" s="16" t="s">
        <v>69</v>
      </c>
      <c r="B21" s="16" t="s">
        <v>70</v>
      </c>
      <c r="C21" s="16" t="s">
        <v>71</v>
      </c>
      <c r="D21" s="16" t="s">
        <v>72</v>
      </c>
      <c r="E21" s="17">
        <v>261.95999999999998</v>
      </c>
      <c r="F21" s="18">
        <v>609.72</v>
      </c>
    </row>
    <row r="22" spans="1:25" ht="15.75" customHeight="1">
      <c r="A22" s="16" t="s">
        <v>73</v>
      </c>
      <c r="B22" s="16" t="s">
        <v>70</v>
      </c>
      <c r="C22" s="16" t="s">
        <v>74</v>
      </c>
      <c r="D22" s="16" t="s">
        <v>75</v>
      </c>
      <c r="E22" s="17">
        <v>731.94</v>
      </c>
      <c r="F22" s="18">
        <v>592.79</v>
      </c>
    </row>
    <row r="23" spans="1:25" ht="15.75" customHeight="1">
      <c r="A23" s="16" t="s">
        <v>76</v>
      </c>
      <c r="B23" s="16" t="s">
        <v>77</v>
      </c>
      <c r="C23" s="16" t="s">
        <v>78</v>
      </c>
      <c r="D23" s="16" t="s">
        <v>79</v>
      </c>
      <c r="E23" s="17">
        <v>14.62</v>
      </c>
      <c r="F23" s="18">
        <v>422.51</v>
      </c>
    </row>
    <row r="24" spans="1:25" ht="15.75" customHeight="1">
      <c r="A24" s="16" t="s">
        <v>80</v>
      </c>
      <c r="B24" s="16" t="s">
        <v>70</v>
      </c>
      <c r="C24" s="16" t="s">
        <v>81</v>
      </c>
      <c r="D24" s="16" t="s">
        <v>82</v>
      </c>
      <c r="E24" s="17">
        <v>957.57749999999999</v>
      </c>
      <c r="F24" s="18">
        <v>375.73500000000001</v>
      </c>
    </row>
    <row r="25" spans="1:25" ht="15.75" customHeight="1">
      <c r="A25" s="16" t="s">
        <v>83</v>
      </c>
      <c r="B25" s="16" t="s">
        <v>77</v>
      </c>
      <c r="C25" s="16" t="s">
        <v>84</v>
      </c>
      <c r="D25" s="16" t="s">
        <v>85</v>
      </c>
      <c r="E25" s="17">
        <v>22.367999999999999</v>
      </c>
      <c r="F25" s="18">
        <v>363.90480000000002</v>
      </c>
    </row>
    <row r="26" spans="1:25" ht="15.75" customHeight="1">
      <c r="A26" s="16"/>
      <c r="B26" s="16"/>
      <c r="C26" s="16"/>
      <c r="D26" s="16"/>
      <c r="E26" s="19">
        <f>SUM(E21:E25)</f>
        <v>1988.4655</v>
      </c>
      <c r="F26" s="19">
        <f>SUM(F21:F25)</f>
        <v>2364.6598000000004</v>
      </c>
    </row>
    <row r="28" spans="1:25" ht="15">
      <c r="A28" s="7" t="s">
        <v>86</v>
      </c>
    </row>
    <row r="29" spans="1:25" ht="15"/>
    <row r="30" spans="1:25" ht="15">
      <c r="A30" s="78" t="s">
        <v>87</v>
      </c>
      <c r="B30" s="78"/>
      <c r="C30" s="78"/>
      <c r="D30" s="78"/>
      <c r="E30" s="78"/>
      <c r="F30" s="78"/>
      <c r="Q30" s="21"/>
      <c r="R30" s="21"/>
      <c r="S30" s="21"/>
      <c r="T30" s="21"/>
      <c r="U30" s="21"/>
      <c r="V30" s="21"/>
      <c r="W30" s="21"/>
      <c r="X30" s="21"/>
      <c r="Y30" s="21"/>
    </row>
    <row r="31" spans="1:25" ht="15">
      <c r="Q31" s="21"/>
      <c r="R31" s="21"/>
      <c r="S31" s="21"/>
      <c r="T31" s="21"/>
      <c r="U31" s="21"/>
      <c r="V31" s="21"/>
      <c r="W31" s="21"/>
      <c r="X31" s="21"/>
      <c r="Y31" s="21"/>
    </row>
    <row r="32" spans="1:25" ht="15">
      <c r="Q32" s="21"/>
      <c r="R32" s="21"/>
      <c r="S32" s="21"/>
      <c r="T32" s="21"/>
      <c r="U32" s="21"/>
      <c r="V32" s="21"/>
      <c r="W32" s="21"/>
      <c r="X32" s="21"/>
      <c r="Y32" s="21"/>
    </row>
    <row r="33" spans="1:25" ht="15">
      <c r="Q33" s="21"/>
      <c r="R33" s="21"/>
      <c r="S33" s="21"/>
      <c r="T33" s="21"/>
      <c r="U33" s="21"/>
      <c r="V33" s="21"/>
      <c r="W33" s="21"/>
      <c r="X33" s="21"/>
      <c r="Y33" s="21"/>
    </row>
    <row r="34" spans="1:25" ht="15">
      <c r="A34" s="10" t="s">
        <v>55</v>
      </c>
      <c r="Q34" s="21"/>
      <c r="R34" s="21"/>
      <c r="S34" s="21"/>
      <c r="T34" s="21"/>
      <c r="U34" s="21"/>
      <c r="V34" s="21"/>
      <c r="W34" s="21"/>
      <c r="X34" s="21"/>
      <c r="Y34" s="21"/>
    </row>
    <row r="35" spans="1:25" ht="15">
      <c r="Q35" s="21"/>
      <c r="R35" s="21"/>
      <c r="S35" s="21"/>
      <c r="T35" s="21"/>
      <c r="U35" s="21"/>
      <c r="V35" s="21"/>
      <c r="W35" s="21"/>
      <c r="X35" s="21"/>
      <c r="Y35" s="21"/>
    </row>
    <row r="36" spans="1:25" ht="15">
      <c r="A36" s="79" t="s">
        <v>88</v>
      </c>
      <c r="B36" s="78"/>
      <c r="Q36" s="21"/>
      <c r="R36" s="21"/>
      <c r="S36" s="21"/>
      <c r="T36" s="21"/>
      <c r="U36" s="21"/>
      <c r="V36" s="21"/>
      <c r="W36" s="21"/>
      <c r="X36" s="21"/>
      <c r="Y36" s="21"/>
    </row>
    <row r="37" spans="1:25" ht="15">
      <c r="Q37" s="21"/>
      <c r="R37" s="21"/>
      <c r="S37" s="21"/>
      <c r="T37" s="21"/>
      <c r="U37" s="21"/>
      <c r="V37" s="21"/>
      <c r="W37" s="21"/>
      <c r="X37" s="21"/>
      <c r="Y37" s="21"/>
    </row>
    <row r="38" spans="1:25" ht="15">
      <c r="A38" s="80" t="s">
        <v>89</v>
      </c>
      <c r="B38" s="78"/>
      <c r="C38" s="78"/>
      <c r="Q38" s="21"/>
      <c r="R38" s="21"/>
      <c r="S38" s="21"/>
      <c r="T38" s="21"/>
      <c r="U38" s="21"/>
      <c r="V38" s="21"/>
      <c r="W38" s="21"/>
      <c r="X38" s="21"/>
      <c r="Y38" s="21"/>
    </row>
    <row r="39" spans="1:25" ht="15">
      <c r="A39" s="80" t="s">
        <v>90</v>
      </c>
      <c r="B39" s="78"/>
      <c r="Q39" s="21"/>
      <c r="R39" s="21"/>
      <c r="S39" s="21"/>
      <c r="T39" s="21"/>
      <c r="U39" s="21"/>
      <c r="V39" s="21"/>
      <c r="W39" s="21"/>
      <c r="X39" s="21"/>
      <c r="Y39" s="21"/>
    </row>
    <row r="40" spans="1:25" ht="15">
      <c r="A40" s="81" t="s">
        <v>91</v>
      </c>
      <c r="B40" s="78"/>
      <c r="C40" s="78"/>
      <c r="D40" s="78"/>
      <c r="E40" s="78"/>
      <c r="Q40" s="21"/>
      <c r="R40" s="21"/>
      <c r="S40" s="21"/>
      <c r="T40" s="21"/>
      <c r="U40" s="21"/>
      <c r="V40" s="21"/>
      <c r="W40" s="21"/>
      <c r="X40" s="21"/>
      <c r="Y40" s="21"/>
    </row>
    <row r="41" spans="1:25" ht="15">
      <c r="Q41" s="21"/>
      <c r="R41" s="21"/>
      <c r="S41" s="21"/>
      <c r="T41" s="21"/>
      <c r="U41" s="21"/>
      <c r="V41" s="21"/>
      <c r="W41" s="21"/>
      <c r="X41" s="21"/>
      <c r="Y41" s="21"/>
    </row>
    <row r="42" spans="1:25" ht="15">
      <c r="A42" s="30" t="s">
        <v>59</v>
      </c>
    </row>
    <row r="43" spans="1:25" ht="15">
      <c r="A43" s="78" t="s">
        <v>92</v>
      </c>
      <c r="B43" s="78"/>
      <c r="C43" s="78"/>
    </row>
    <row r="44" spans="1:25" ht="15">
      <c r="A44" s="78" t="s">
        <v>93</v>
      </c>
      <c r="B44" s="78"/>
      <c r="C44" s="78"/>
      <c r="D44" s="78"/>
    </row>
    <row r="45" spans="1:25" ht="15">
      <c r="A45" s="78" t="s">
        <v>94</v>
      </c>
      <c r="B45" s="78"/>
    </row>
    <row r="46" spans="1:25" ht="15"/>
    <row r="47" spans="1:25" ht="15">
      <c r="A47" s="12" t="s">
        <v>27</v>
      </c>
    </row>
    <row r="48" spans="1:25" ht="15">
      <c r="A48" s="15"/>
      <c r="B48" s="15"/>
      <c r="C48" s="15"/>
      <c r="D48" s="15"/>
      <c r="E48" s="15"/>
    </row>
    <row r="49" spans="1:6" ht="15">
      <c r="A49" s="13" t="s">
        <v>29</v>
      </c>
      <c r="B49" s="13" t="s">
        <v>30</v>
      </c>
      <c r="C49" s="13" t="s">
        <v>63</v>
      </c>
      <c r="D49" s="13" t="s">
        <v>64</v>
      </c>
      <c r="E49" s="13" t="s">
        <v>65</v>
      </c>
      <c r="F49" s="13" t="s">
        <v>67</v>
      </c>
    </row>
    <row r="50" spans="1:6" ht="15">
      <c r="A50" s="18" t="s">
        <v>95</v>
      </c>
      <c r="B50" s="31">
        <v>42682</v>
      </c>
      <c r="C50" s="18" t="s">
        <v>69</v>
      </c>
      <c r="D50" s="18" t="s">
        <v>70</v>
      </c>
      <c r="E50" s="18" t="s">
        <v>71</v>
      </c>
      <c r="F50" s="18">
        <v>261.95999999999998</v>
      </c>
    </row>
    <row r="51" spans="1:6" ht="15">
      <c r="A51" s="18" t="s">
        <v>95</v>
      </c>
      <c r="B51" s="31">
        <v>42682</v>
      </c>
      <c r="C51" s="18" t="s">
        <v>73</v>
      </c>
      <c r="D51" s="18" t="s">
        <v>70</v>
      </c>
      <c r="E51" s="18" t="s">
        <v>74</v>
      </c>
      <c r="F51" s="18">
        <v>731.94</v>
      </c>
    </row>
    <row r="52" spans="1:6" ht="15">
      <c r="A52" s="18" t="s">
        <v>96</v>
      </c>
      <c r="B52" s="31">
        <v>42533</v>
      </c>
      <c r="C52" s="18" t="s">
        <v>76</v>
      </c>
      <c r="D52" s="18" t="s">
        <v>77</v>
      </c>
      <c r="E52" s="18" t="s">
        <v>78</v>
      </c>
      <c r="F52" s="18">
        <v>14.62</v>
      </c>
    </row>
    <row r="53" spans="1:6" ht="15">
      <c r="A53" s="18" t="s">
        <v>97</v>
      </c>
      <c r="B53" s="32">
        <v>42288</v>
      </c>
      <c r="C53" s="18" t="s">
        <v>80</v>
      </c>
      <c r="D53" s="18" t="s">
        <v>70</v>
      </c>
      <c r="E53" s="18" t="s">
        <v>81</v>
      </c>
      <c r="F53" s="18">
        <v>957.57749999999999</v>
      </c>
    </row>
    <row r="54" spans="1:6" ht="15">
      <c r="A54" s="18" t="s">
        <v>97</v>
      </c>
      <c r="B54" s="32">
        <v>42288</v>
      </c>
      <c r="C54" s="18" t="s">
        <v>83</v>
      </c>
      <c r="D54" s="18" t="s">
        <v>77</v>
      </c>
      <c r="E54" s="18" t="s">
        <v>84</v>
      </c>
      <c r="F54" s="18">
        <v>22.367999999999999</v>
      </c>
    </row>
    <row r="55" spans="1:6" ht="15">
      <c r="A55" s="18" t="s">
        <v>98</v>
      </c>
      <c r="B55" s="31">
        <v>41799</v>
      </c>
      <c r="C55" s="18" t="s">
        <v>99</v>
      </c>
      <c r="D55" s="18" t="s">
        <v>70</v>
      </c>
      <c r="E55" s="18" t="s">
        <v>100</v>
      </c>
      <c r="F55" s="18">
        <v>48.86</v>
      </c>
    </row>
    <row r="56" spans="1:6" ht="15">
      <c r="A56" s="18" t="s">
        <v>98</v>
      </c>
      <c r="B56" s="31">
        <v>41799</v>
      </c>
      <c r="C56" s="18" t="s">
        <v>101</v>
      </c>
      <c r="D56" s="18" t="s">
        <v>77</v>
      </c>
      <c r="E56" s="18" t="s">
        <v>102</v>
      </c>
      <c r="F56" s="18">
        <v>7.28</v>
      </c>
    </row>
    <row r="57" spans="1:6" ht="15">
      <c r="A57" s="18" t="s">
        <v>98</v>
      </c>
      <c r="B57" s="31">
        <v>41799</v>
      </c>
      <c r="C57" s="18" t="s">
        <v>103</v>
      </c>
      <c r="D57" s="18" t="s">
        <v>104</v>
      </c>
      <c r="E57" s="18" t="s">
        <v>105</v>
      </c>
      <c r="F57" s="18">
        <v>907.15200000000004</v>
      </c>
    </row>
    <row r="58" spans="1:6" ht="15">
      <c r="A58" s="18" t="s">
        <v>98</v>
      </c>
      <c r="B58" s="31">
        <v>41799</v>
      </c>
      <c r="C58" s="18" t="s">
        <v>106</v>
      </c>
      <c r="D58" s="18" t="s">
        <v>77</v>
      </c>
      <c r="E58" s="18" t="s">
        <v>107</v>
      </c>
      <c r="F58" s="18">
        <v>18.504000000000001</v>
      </c>
    </row>
    <row r="59" spans="1:6" ht="15"/>
    <row r="60" spans="1:6" ht="15">
      <c r="A60" s="15" t="s">
        <v>108</v>
      </c>
    </row>
    <row r="61" spans="1:6" ht="15">
      <c r="A61" s="33">
        <f>SUMIF($D$50:$D$58,"furniture",$F$50:$F$58)</f>
        <v>2000.3374999999999</v>
      </c>
    </row>
    <row r="62" spans="1:6" ht="15"/>
    <row r="63" spans="1:6" ht="15">
      <c r="A63" s="12" t="s">
        <v>109</v>
      </c>
    </row>
    <row r="64" spans="1:6" ht="15">
      <c r="A64" s="33">
        <f>SUMIF(D50:D58,"office supplies",F50:F58)</f>
        <v>62.772000000000006</v>
      </c>
    </row>
    <row r="66" spans="1:6" ht="15">
      <c r="A66" s="7" t="s">
        <v>110</v>
      </c>
    </row>
    <row r="67" spans="1:6" ht="15"/>
    <row r="68" spans="1:6" ht="15"/>
    <row r="69" spans="1:6" ht="15">
      <c r="A69" s="78" t="s">
        <v>111</v>
      </c>
      <c r="B69" s="78"/>
      <c r="C69" s="78"/>
      <c r="D69" s="78"/>
    </row>
    <row r="70" spans="1:6" ht="15">
      <c r="A70" s="78" t="s">
        <v>112</v>
      </c>
      <c r="B70" s="78"/>
      <c r="C70" s="78"/>
      <c r="D70" s="78"/>
      <c r="E70" s="78"/>
      <c r="F70" s="78"/>
    </row>
    <row r="71" spans="1:6" ht="15"/>
    <row r="72" spans="1:6" ht="15"/>
    <row r="73" spans="1:6" ht="15">
      <c r="A73" s="10" t="s">
        <v>55</v>
      </c>
    </row>
    <row r="74" spans="1:6" ht="15">
      <c r="A74" s="79" t="s">
        <v>113</v>
      </c>
      <c r="B74" s="78"/>
      <c r="C74" s="78"/>
      <c r="D74" s="78"/>
    </row>
    <row r="75" spans="1:6" ht="15"/>
    <row r="76" spans="1:6" ht="15">
      <c r="A76" s="29" t="s">
        <v>114</v>
      </c>
    </row>
    <row r="77" spans="1:6" ht="15">
      <c r="A77" s="80" t="s">
        <v>115</v>
      </c>
      <c r="B77" s="78"/>
    </row>
    <row r="78" spans="1:6" ht="15">
      <c r="A78" s="29" t="s">
        <v>116</v>
      </c>
    </row>
    <row r="79" spans="1:6" ht="15">
      <c r="A79" s="81" t="s">
        <v>117</v>
      </c>
      <c r="B79" s="78"/>
      <c r="C79" s="78"/>
    </row>
    <row r="80" spans="1:6" ht="15">
      <c r="A80" s="81" t="s">
        <v>118</v>
      </c>
      <c r="B80" s="78"/>
    </row>
    <row r="81" spans="1:8" ht="15"/>
    <row r="82" spans="1:8" ht="15"/>
    <row r="83" spans="1:8" ht="15">
      <c r="A83" s="30" t="s">
        <v>59</v>
      </c>
    </row>
    <row r="84" spans="1:8" ht="15">
      <c r="A84" s="83" t="s">
        <v>119</v>
      </c>
      <c r="B84" s="78"/>
      <c r="C84" s="78"/>
      <c r="D84" s="78"/>
      <c r="E84" s="78"/>
      <c r="F84" s="78"/>
    </row>
    <row r="85" spans="1:8" ht="15">
      <c r="A85" s="78" t="s">
        <v>93</v>
      </c>
      <c r="B85" s="78"/>
      <c r="C85" s="78"/>
      <c r="D85" s="78"/>
      <c r="E85" s="78"/>
    </row>
    <row r="86" spans="1:8" ht="15">
      <c r="A86" s="78" t="s">
        <v>120</v>
      </c>
      <c r="B86" s="78"/>
      <c r="C86" s="78"/>
      <c r="D86" s="78"/>
      <c r="E86" s="78"/>
      <c r="F86" s="78"/>
      <c r="G86" s="78"/>
    </row>
    <row r="87" spans="1:8" ht="15">
      <c r="A87" s="80" t="s">
        <v>121</v>
      </c>
      <c r="B87" s="78"/>
      <c r="C87" s="78"/>
      <c r="D87" s="78"/>
      <c r="E87" s="78"/>
      <c r="F87" s="78"/>
      <c r="G87" s="78"/>
    </row>
    <row r="88" spans="1:8" ht="15"/>
    <row r="89" spans="1:8" ht="15"/>
    <row r="90" spans="1:8" ht="15">
      <c r="A90" s="12" t="s">
        <v>27</v>
      </c>
    </row>
    <row r="91" spans="1:8" ht="15">
      <c r="A91" s="13" t="s">
        <v>29</v>
      </c>
      <c r="B91" s="13" t="s">
        <v>30</v>
      </c>
      <c r="C91" s="13" t="s">
        <v>122</v>
      </c>
      <c r="D91" s="13" t="s">
        <v>63</v>
      </c>
      <c r="E91" s="13" t="s">
        <v>64</v>
      </c>
      <c r="F91" s="13" t="s">
        <v>65</v>
      </c>
      <c r="G91" s="13" t="s">
        <v>66</v>
      </c>
      <c r="H91" s="13" t="s">
        <v>67</v>
      </c>
    </row>
    <row r="92" spans="1:8" ht="15">
      <c r="A92" s="18" t="s">
        <v>95</v>
      </c>
      <c r="B92" s="31">
        <v>42682</v>
      </c>
      <c r="C92" s="18" t="s">
        <v>123</v>
      </c>
      <c r="D92" s="18" t="s">
        <v>69</v>
      </c>
      <c r="E92" s="18" t="s">
        <v>70</v>
      </c>
      <c r="F92" s="18" t="s">
        <v>71</v>
      </c>
      <c r="G92" s="18" t="s">
        <v>72</v>
      </c>
      <c r="H92" s="18">
        <v>261.95999999999998</v>
      </c>
    </row>
    <row r="93" spans="1:8" ht="15">
      <c r="A93" s="18" t="s">
        <v>95</v>
      </c>
      <c r="B93" s="31">
        <v>42682</v>
      </c>
      <c r="C93" s="18" t="s">
        <v>123</v>
      </c>
      <c r="D93" s="18" t="s">
        <v>73</v>
      </c>
      <c r="E93" s="18" t="s">
        <v>70</v>
      </c>
      <c r="F93" s="18" t="s">
        <v>74</v>
      </c>
      <c r="G93" s="18" t="s">
        <v>75</v>
      </c>
      <c r="H93" s="18">
        <v>731.94</v>
      </c>
    </row>
    <row r="94" spans="1:8" ht="15">
      <c r="A94" s="18" t="s">
        <v>96</v>
      </c>
      <c r="B94" s="31">
        <v>42533</v>
      </c>
      <c r="C94" s="18" t="s">
        <v>124</v>
      </c>
      <c r="D94" s="18" t="s">
        <v>76</v>
      </c>
      <c r="E94" s="18" t="s">
        <v>77</v>
      </c>
      <c r="F94" s="18" t="s">
        <v>78</v>
      </c>
      <c r="G94" s="18" t="s">
        <v>79</v>
      </c>
      <c r="H94" s="18">
        <v>14.62</v>
      </c>
    </row>
    <row r="95" spans="1:8" ht="15">
      <c r="A95" s="18" t="s">
        <v>97</v>
      </c>
      <c r="B95" s="32">
        <v>42288</v>
      </c>
      <c r="C95" s="18" t="s">
        <v>125</v>
      </c>
      <c r="D95" s="18" t="s">
        <v>80</v>
      </c>
      <c r="E95" s="18" t="s">
        <v>70</v>
      </c>
      <c r="F95" s="18" t="s">
        <v>81</v>
      </c>
      <c r="G95" s="18" t="s">
        <v>82</v>
      </c>
      <c r="H95" s="18">
        <v>957.57749999999999</v>
      </c>
    </row>
    <row r="96" spans="1:8" ht="15">
      <c r="A96" s="18" t="s">
        <v>97</v>
      </c>
      <c r="B96" s="32">
        <v>42288</v>
      </c>
      <c r="C96" s="18" t="s">
        <v>125</v>
      </c>
      <c r="D96" s="18" t="s">
        <v>83</v>
      </c>
      <c r="E96" s="18" t="s">
        <v>77</v>
      </c>
      <c r="F96" s="18" t="s">
        <v>84</v>
      </c>
      <c r="G96" s="18" t="s">
        <v>85</v>
      </c>
      <c r="H96" s="18">
        <v>22.367999999999999</v>
      </c>
    </row>
    <row r="97" spans="1:8" ht="15">
      <c r="A97" s="18" t="s">
        <v>98</v>
      </c>
      <c r="B97" s="31">
        <v>41799</v>
      </c>
      <c r="C97" s="18" t="s">
        <v>124</v>
      </c>
      <c r="D97" s="18" t="s">
        <v>99</v>
      </c>
      <c r="E97" s="18" t="s">
        <v>70</v>
      </c>
      <c r="F97" s="18" t="s">
        <v>100</v>
      </c>
      <c r="G97" s="18" t="s">
        <v>126</v>
      </c>
      <c r="H97" s="18">
        <v>48.86</v>
      </c>
    </row>
    <row r="98" spans="1:8" ht="15">
      <c r="A98" s="18" t="s">
        <v>98</v>
      </c>
      <c r="B98" s="31">
        <v>41799</v>
      </c>
      <c r="C98" s="18" t="s">
        <v>124</v>
      </c>
      <c r="D98" s="18" t="s">
        <v>101</v>
      </c>
      <c r="E98" s="18" t="s">
        <v>77</v>
      </c>
      <c r="F98" s="18" t="s">
        <v>102</v>
      </c>
      <c r="G98" s="18" t="s">
        <v>127</v>
      </c>
      <c r="H98" s="18">
        <v>7.28</v>
      </c>
    </row>
    <row r="99" spans="1:8" ht="15">
      <c r="A99" s="18" t="s">
        <v>98</v>
      </c>
      <c r="B99" s="31">
        <v>41799</v>
      </c>
      <c r="C99" s="18" t="s">
        <v>124</v>
      </c>
      <c r="D99" s="18" t="s">
        <v>103</v>
      </c>
      <c r="E99" s="18" t="s">
        <v>104</v>
      </c>
      <c r="F99" s="18" t="s">
        <v>105</v>
      </c>
      <c r="G99" s="18" t="s">
        <v>128</v>
      </c>
      <c r="H99" s="18">
        <v>907.15200000000004</v>
      </c>
    </row>
    <row r="100" spans="1:8" ht="15">
      <c r="A100" s="18" t="s">
        <v>98</v>
      </c>
      <c r="B100" s="31">
        <v>41799</v>
      </c>
      <c r="C100" s="18" t="s">
        <v>124</v>
      </c>
      <c r="D100" s="18" t="s">
        <v>106</v>
      </c>
      <c r="E100" s="18" t="s">
        <v>77</v>
      </c>
      <c r="F100" s="18" t="s">
        <v>107</v>
      </c>
      <c r="G100" s="18" t="s">
        <v>129</v>
      </c>
      <c r="H100" s="18">
        <v>18.504000000000001</v>
      </c>
    </row>
    <row r="101" spans="1:8" ht="15"/>
    <row r="102" spans="1:8" ht="15">
      <c r="A102" s="15" t="s">
        <v>130</v>
      </c>
    </row>
    <row r="103" spans="1:8" ht="15">
      <c r="A103" s="33">
        <f>SUMIFS($H$92:$H$100,$E$92:$E$100,E92,C92:C100,C94)</f>
        <v>48.86</v>
      </c>
    </row>
    <row r="104" spans="1:8" ht="15"/>
    <row r="105" spans="1:8" ht="15">
      <c r="A105" s="82" t="s">
        <v>131</v>
      </c>
      <c r="B105" s="78"/>
      <c r="C105" s="78"/>
    </row>
    <row r="106" spans="1:8" ht="15">
      <c r="A106" s="33">
        <f>SUMIFS(H92:H100,E92:E100,E94,C92:C100,C94)</f>
        <v>40.403999999999996</v>
      </c>
    </row>
  </sheetData>
  <mergeCells count="28">
    <mergeCell ref="A85:E85"/>
    <mergeCell ref="A86:G86"/>
    <mergeCell ref="A87:G87"/>
    <mergeCell ref="A105:C105"/>
    <mergeCell ref="A70:F70"/>
    <mergeCell ref="A74:D74"/>
    <mergeCell ref="A77:B77"/>
    <mergeCell ref="A79:C79"/>
    <mergeCell ref="A80:B80"/>
    <mergeCell ref="A84:F84"/>
    <mergeCell ref="A69:D69"/>
    <mergeCell ref="A13:F13"/>
    <mergeCell ref="A14:K14"/>
    <mergeCell ref="A15:K15"/>
    <mergeCell ref="A30:F30"/>
    <mergeCell ref="A36:B36"/>
    <mergeCell ref="A38:C38"/>
    <mergeCell ref="A39:B39"/>
    <mergeCell ref="A40:E40"/>
    <mergeCell ref="A43:C43"/>
    <mergeCell ref="A44:D44"/>
    <mergeCell ref="A45:B45"/>
    <mergeCell ref="A12:B12"/>
    <mergeCell ref="A3:D3"/>
    <mergeCell ref="A4:E4"/>
    <mergeCell ref="A7:D7"/>
    <mergeCell ref="A9:C9"/>
    <mergeCell ref="A10:D10"/>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0" summaryRight="0"/>
  </sheetPr>
  <dimension ref="A1:J145"/>
  <sheetViews>
    <sheetView topLeftCell="A125" workbookViewId="0">
      <selection activeCell="B143" sqref="B143"/>
    </sheetView>
  </sheetViews>
  <sheetFormatPr defaultColWidth="12.7109375" defaultRowHeight="15.75" customHeight="1"/>
  <cols>
    <col min="1" max="1" width="40.140625" style="9" customWidth="1"/>
    <col min="2" max="2" width="42.28515625" style="9" customWidth="1"/>
    <col min="3" max="3" width="17.28515625" style="9" customWidth="1"/>
    <col min="4" max="7" width="12.7109375" style="9"/>
    <col min="8" max="8" width="17.85546875" style="9" customWidth="1"/>
    <col min="9" max="16384" width="12.7109375" style="9"/>
  </cols>
  <sheetData>
    <row r="1" spans="1:7" ht="15.75" customHeight="1">
      <c r="A1" s="7" t="s">
        <v>132</v>
      </c>
      <c r="B1" s="8"/>
      <c r="C1" s="8"/>
      <c r="D1" s="8"/>
      <c r="E1" s="8"/>
      <c r="F1" s="8"/>
      <c r="G1" s="8"/>
    </row>
    <row r="2" spans="1:7" ht="15.75" customHeight="1">
      <c r="A2" s="8"/>
      <c r="B2" s="8"/>
      <c r="C2" s="8"/>
      <c r="D2" s="8"/>
      <c r="E2" s="8"/>
      <c r="F2" s="8"/>
      <c r="G2" s="8"/>
    </row>
    <row r="3" spans="1:7" ht="15.75" customHeight="1">
      <c r="A3" s="85" t="s">
        <v>133</v>
      </c>
      <c r="B3" s="84"/>
      <c r="C3" s="84"/>
      <c r="D3" s="84"/>
      <c r="E3" s="84"/>
      <c r="F3" s="84"/>
      <c r="G3" s="8"/>
    </row>
    <row r="4" spans="1:7" ht="15.75" customHeight="1">
      <c r="A4" s="8"/>
      <c r="B4" s="8"/>
      <c r="C4" s="8"/>
      <c r="D4" s="8"/>
      <c r="E4" s="8"/>
      <c r="F4" s="8"/>
      <c r="G4" s="8"/>
    </row>
    <row r="5" spans="1:7" ht="15.75" customHeight="1">
      <c r="A5" s="10" t="s">
        <v>55</v>
      </c>
      <c r="B5" s="8"/>
      <c r="C5" s="8"/>
      <c r="D5" s="8"/>
      <c r="E5" s="8"/>
      <c r="F5" s="8"/>
      <c r="G5" s="8"/>
    </row>
    <row r="6" spans="1:7" ht="15.75" customHeight="1">
      <c r="A6" s="79" t="s">
        <v>134</v>
      </c>
      <c r="B6" s="84"/>
      <c r="C6" s="8"/>
      <c r="D6" s="8"/>
      <c r="E6" s="8"/>
      <c r="F6" s="8"/>
      <c r="G6" s="8"/>
    </row>
    <row r="7" spans="1:7" ht="15.75" customHeight="1">
      <c r="A7" s="8"/>
      <c r="B7" s="8"/>
      <c r="C7" s="8"/>
      <c r="D7" s="8"/>
      <c r="E7" s="8"/>
      <c r="F7" s="8"/>
      <c r="G7" s="8"/>
    </row>
    <row r="8" spans="1:7" ht="15.75" customHeight="1">
      <c r="A8" s="80" t="s">
        <v>135</v>
      </c>
      <c r="B8" s="84"/>
      <c r="C8" s="8"/>
      <c r="D8" s="8"/>
      <c r="E8" s="8"/>
      <c r="F8" s="8"/>
      <c r="G8" s="8"/>
    </row>
    <row r="9" spans="1:7" ht="15.75" customHeight="1">
      <c r="A9" s="81" t="s">
        <v>136</v>
      </c>
      <c r="B9" s="84"/>
      <c r="C9" s="8"/>
      <c r="D9" s="8"/>
      <c r="E9" s="8"/>
      <c r="F9" s="8"/>
      <c r="G9" s="8"/>
    </row>
    <row r="10" spans="1:7" ht="15.75" customHeight="1">
      <c r="A10" s="8"/>
      <c r="B10" s="8"/>
      <c r="C10" s="8"/>
      <c r="D10" s="8"/>
      <c r="E10" s="8"/>
      <c r="F10" s="8"/>
      <c r="G10" s="8"/>
    </row>
    <row r="11" spans="1:7" ht="15.75" customHeight="1">
      <c r="A11" s="8"/>
      <c r="B11" s="8"/>
      <c r="C11" s="8"/>
      <c r="D11" s="8"/>
      <c r="E11" s="8"/>
      <c r="F11" s="8"/>
      <c r="G11" s="8"/>
    </row>
    <row r="12" spans="1:7" ht="15.75" customHeight="1">
      <c r="A12" s="30" t="s">
        <v>59</v>
      </c>
      <c r="B12" s="8"/>
      <c r="C12" s="8"/>
      <c r="D12" s="8"/>
      <c r="E12" s="8"/>
      <c r="F12" s="8"/>
      <c r="G12" s="8"/>
    </row>
    <row r="13" spans="1:7" ht="15.75" customHeight="1">
      <c r="A13" s="79" t="s">
        <v>137</v>
      </c>
      <c r="B13" s="84"/>
      <c r="C13" s="8"/>
      <c r="D13" s="8"/>
      <c r="E13" s="8"/>
      <c r="F13" s="8"/>
      <c r="G13" s="8"/>
    </row>
    <row r="14" spans="1:7" ht="15.75" customHeight="1">
      <c r="A14" s="78" t="s">
        <v>138</v>
      </c>
      <c r="B14" s="84"/>
      <c r="C14" s="8"/>
      <c r="D14" s="8"/>
      <c r="E14" s="8"/>
      <c r="F14" s="8"/>
      <c r="G14" s="8"/>
    </row>
    <row r="15" spans="1:7" ht="15.75" customHeight="1">
      <c r="A15" s="8" t="s">
        <v>139</v>
      </c>
      <c r="B15" s="8"/>
      <c r="C15" s="8"/>
      <c r="D15" s="8"/>
      <c r="E15" s="8"/>
      <c r="F15" s="8"/>
      <c r="G15" s="8"/>
    </row>
    <row r="16" spans="1:7" ht="15.75" customHeight="1">
      <c r="A16" s="8"/>
      <c r="B16" s="8"/>
      <c r="C16" s="8"/>
      <c r="D16" s="8"/>
      <c r="E16" s="8"/>
      <c r="F16" s="8"/>
      <c r="G16" s="8"/>
    </row>
    <row r="17" spans="1:7" ht="15.75" customHeight="1">
      <c r="A17" s="8"/>
      <c r="B17" s="8"/>
      <c r="C17" s="8"/>
      <c r="D17" s="8"/>
      <c r="E17" s="8"/>
      <c r="F17" s="8"/>
      <c r="G17" s="8"/>
    </row>
    <row r="18" spans="1:7" ht="15.75" customHeight="1">
      <c r="A18" s="8" t="s">
        <v>27</v>
      </c>
      <c r="B18" s="8"/>
      <c r="C18" s="8"/>
      <c r="D18" s="8"/>
      <c r="E18" s="8"/>
      <c r="F18" s="8"/>
      <c r="G18" s="8"/>
    </row>
    <row r="19" spans="1:7" ht="15.75" customHeight="1">
      <c r="A19" s="13" t="s">
        <v>29</v>
      </c>
      <c r="B19" s="13" t="s">
        <v>30</v>
      </c>
      <c r="C19" s="13" t="s">
        <v>140</v>
      </c>
      <c r="D19" s="13" t="s">
        <v>63</v>
      </c>
      <c r="E19" s="13" t="s">
        <v>64</v>
      </c>
      <c r="F19" s="13" t="s">
        <v>65</v>
      </c>
      <c r="G19" s="13" t="s">
        <v>67</v>
      </c>
    </row>
    <row r="20" spans="1:7" ht="15.75" customHeight="1">
      <c r="A20" s="18" t="s">
        <v>95</v>
      </c>
      <c r="B20" s="31">
        <v>42682</v>
      </c>
      <c r="C20" s="16" t="s">
        <v>141</v>
      </c>
      <c r="D20" s="18" t="s">
        <v>69</v>
      </c>
      <c r="E20" s="18" t="s">
        <v>70</v>
      </c>
      <c r="F20" s="18" t="s">
        <v>71</v>
      </c>
      <c r="G20" s="18">
        <v>261.95999999999998</v>
      </c>
    </row>
    <row r="21" spans="1:7" ht="15.75" customHeight="1">
      <c r="A21" s="18" t="s">
        <v>95</v>
      </c>
      <c r="B21" s="31">
        <v>42682</v>
      </c>
      <c r="C21" s="16" t="s">
        <v>142</v>
      </c>
      <c r="D21" s="18" t="s">
        <v>73</v>
      </c>
      <c r="E21" s="18" t="s">
        <v>70</v>
      </c>
      <c r="F21" s="18" t="s">
        <v>74</v>
      </c>
      <c r="G21" s="18">
        <v>731.94</v>
      </c>
    </row>
    <row r="22" spans="1:7" ht="15.75" customHeight="1">
      <c r="A22" s="18" t="s">
        <v>96</v>
      </c>
      <c r="B22" s="31">
        <v>42533</v>
      </c>
      <c r="C22" s="16" t="s">
        <v>143</v>
      </c>
      <c r="D22" s="18" t="s">
        <v>76</v>
      </c>
      <c r="E22" s="18" t="s">
        <v>77</v>
      </c>
      <c r="F22" s="18" t="s">
        <v>78</v>
      </c>
      <c r="G22" s="18">
        <v>14.62</v>
      </c>
    </row>
    <row r="23" spans="1:7" ht="15.75" customHeight="1">
      <c r="A23" s="18" t="s">
        <v>97</v>
      </c>
      <c r="B23" s="32">
        <v>42288</v>
      </c>
      <c r="C23" s="16" t="s">
        <v>144</v>
      </c>
      <c r="D23" s="18" t="s">
        <v>80</v>
      </c>
      <c r="E23" s="18" t="s">
        <v>70</v>
      </c>
      <c r="F23" s="18" t="s">
        <v>81</v>
      </c>
      <c r="G23" s="18">
        <v>957.57749999999999</v>
      </c>
    </row>
    <row r="24" spans="1:7" ht="15.75" customHeight="1">
      <c r="A24" s="18" t="s">
        <v>97</v>
      </c>
      <c r="B24" s="32">
        <v>42288</v>
      </c>
      <c r="C24" s="16" t="s">
        <v>145</v>
      </c>
      <c r="D24" s="18" t="s">
        <v>83</v>
      </c>
      <c r="E24" s="18" t="s">
        <v>77</v>
      </c>
      <c r="F24" s="18" t="s">
        <v>84</v>
      </c>
      <c r="G24" s="18">
        <v>22.367999999999999</v>
      </c>
    </row>
    <row r="25" spans="1:7" ht="15.75" customHeight="1">
      <c r="A25" s="18" t="s">
        <v>98</v>
      </c>
      <c r="B25" s="31">
        <v>41799</v>
      </c>
      <c r="C25" s="16" t="s">
        <v>146</v>
      </c>
      <c r="D25" s="18" t="s">
        <v>99</v>
      </c>
      <c r="E25" s="18" t="s">
        <v>70</v>
      </c>
      <c r="F25" s="18" t="s">
        <v>100</v>
      </c>
      <c r="G25" s="18">
        <v>48.86</v>
      </c>
    </row>
    <row r="26" spans="1:7" ht="15.75" customHeight="1">
      <c r="A26" s="18" t="s">
        <v>98</v>
      </c>
      <c r="B26" s="31">
        <v>41799</v>
      </c>
      <c r="C26" s="16" t="s">
        <v>147</v>
      </c>
      <c r="D26" s="18" t="s">
        <v>101</v>
      </c>
      <c r="E26" s="18" t="s">
        <v>77</v>
      </c>
      <c r="F26" s="18" t="s">
        <v>102</v>
      </c>
      <c r="G26" s="18">
        <v>7.28</v>
      </c>
    </row>
    <row r="27" spans="1:7" ht="15.75" customHeight="1">
      <c r="A27" s="18" t="s">
        <v>98</v>
      </c>
      <c r="B27" s="31">
        <v>41799</v>
      </c>
      <c r="C27" s="16" t="s">
        <v>148</v>
      </c>
      <c r="D27" s="18" t="s">
        <v>103</v>
      </c>
      <c r="E27" s="18" t="s">
        <v>104</v>
      </c>
      <c r="F27" s="18" t="s">
        <v>105</v>
      </c>
      <c r="G27" s="18">
        <v>907.15200000000004</v>
      </c>
    </row>
    <row r="28" spans="1:7" ht="15">
      <c r="A28" s="18" t="s">
        <v>98</v>
      </c>
      <c r="B28" s="31">
        <v>41799</v>
      </c>
      <c r="C28" s="16" t="s">
        <v>149</v>
      </c>
      <c r="D28" s="18" t="s">
        <v>106</v>
      </c>
      <c r="E28" s="18" t="s">
        <v>77</v>
      </c>
      <c r="F28" s="18" t="s">
        <v>107</v>
      </c>
      <c r="G28" s="18">
        <v>18.504000000000001</v>
      </c>
    </row>
    <row r="29" spans="1:7" ht="15">
      <c r="A29" s="8"/>
      <c r="B29" s="8"/>
      <c r="C29" s="8"/>
      <c r="D29" s="8"/>
      <c r="E29" s="8"/>
      <c r="F29" s="8"/>
      <c r="G29" s="8"/>
    </row>
    <row r="30" spans="1:7" ht="15">
      <c r="A30" s="8"/>
      <c r="B30" s="8"/>
      <c r="C30" s="8"/>
      <c r="D30" s="8"/>
      <c r="E30" s="8"/>
      <c r="F30" s="8"/>
      <c r="G30" s="8"/>
    </row>
    <row r="31" spans="1:7" ht="15">
      <c r="A31" s="34" t="s">
        <v>150</v>
      </c>
      <c r="B31" s="8"/>
      <c r="C31" s="8"/>
      <c r="D31" s="8"/>
      <c r="E31" s="8"/>
      <c r="F31" s="8"/>
      <c r="G31" s="8"/>
    </row>
    <row r="32" spans="1:7" ht="15">
      <c r="A32" s="33">
        <f>COUNT(G20:G28)</f>
        <v>9</v>
      </c>
      <c r="B32" s="35"/>
      <c r="C32" s="8"/>
      <c r="D32" s="8"/>
      <c r="E32" s="8"/>
      <c r="F32" s="8"/>
      <c r="G32" s="8"/>
    </row>
    <row r="33" spans="1:10" ht="15">
      <c r="A33" s="8"/>
      <c r="B33" s="8"/>
      <c r="C33" s="8"/>
      <c r="D33" s="8"/>
      <c r="E33" s="8"/>
      <c r="F33" s="8"/>
      <c r="G33" s="8"/>
    </row>
    <row r="34" spans="1:10" ht="15">
      <c r="A34" s="12" t="s">
        <v>151</v>
      </c>
      <c r="B34" s="8"/>
      <c r="C34" s="8"/>
      <c r="D34" s="8"/>
      <c r="E34" s="8"/>
      <c r="F34" s="8"/>
      <c r="G34" s="8"/>
    </row>
    <row r="35" spans="1:10" ht="15">
      <c r="A35" s="36">
        <f>COUNTA(C20:C28)</f>
        <v>9</v>
      </c>
      <c r="B35" s="35"/>
      <c r="C35" s="8"/>
      <c r="D35" s="8"/>
      <c r="E35" s="8"/>
      <c r="F35" s="8"/>
      <c r="G35" s="8"/>
    </row>
    <row r="37" spans="1:10" ht="15">
      <c r="A37" s="7" t="s">
        <v>152</v>
      </c>
      <c r="B37" s="8"/>
      <c r="C37" s="8"/>
      <c r="D37" s="8"/>
      <c r="E37" s="8"/>
      <c r="F37" s="8"/>
      <c r="G37" s="8"/>
      <c r="H37" s="8"/>
      <c r="I37" s="8"/>
      <c r="J37" s="8"/>
    </row>
    <row r="38" spans="1:10" ht="15">
      <c r="A38" s="8"/>
      <c r="B38" s="8"/>
      <c r="C38" s="8"/>
      <c r="D38" s="8"/>
      <c r="E38" s="8"/>
      <c r="F38" s="8"/>
      <c r="G38" s="8"/>
      <c r="H38" s="8"/>
      <c r="I38" s="8"/>
      <c r="J38" s="8"/>
    </row>
    <row r="39" spans="1:10" ht="15">
      <c r="A39" s="79" t="s">
        <v>153</v>
      </c>
      <c r="B39" s="84"/>
      <c r="C39" s="84"/>
      <c r="D39" s="84"/>
      <c r="E39" s="84"/>
      <c r="F39" s="84"/>
      <c r="G39" s="84"/>
      <c r="H39" s="84"/>
      <c r="I39" s="8"/>
      <c r="J39" s="8"/>
    </row>
    <row r="40" spans="1:10" ht="15">
      <c r="A40" s="37"/>
      <c r="B40" s="37"/>
      <c r="C40" s="8"/>
      <c r="D40" s="8"/>
      <c r="E40" s="8"/>
      <c r="F40" s="8"/>
      <c r="G40" s="8"/>
      <c r="H40" s="8"/>
      <c r="I40" s="8"/>
      <c r="J40" s="8"/>
    </row>
    <row r="41" spans="1:10" ht="15">
      <c r="A41" s="8"/>
      <c r="B41" s="8"/>
      <c r="C41" s="8"/>
      <c r="D41" s="8"/>
      <c r="E41" s="8"/>
      <c r="F41" s="8"/>
      <c r="G41" s="8"/>
      <c r="H41" s="8"/>
      <c r="I41" s="8"/>
      <c r="J41" s="8"/>
    </row>
    <row r="42" spans="1:10" ht="15">
      <c r="A42" s="8"/>
      <c r="B42" s="8"/>
      <c r="C42" s="8"/>
      <c r="D42" s="8"/>
      <c r="E42" s="8"/>
      <c r="F42" s="8"/>
      <c r="G42" s="8"/>
      <c r="H42" s="8"/>
      <c r="I42" s="8"/>
      <c r="J42" s="8"/>
    </row>
    <row r="43" spans="1:10" ht="15">
      <c r="A43" s="10" t="s">
        <v>55</v>
      </c>
      <c r="B43" s="8"/>
      <c r="C43" s="8"/>
      <c r="D43" s="8"/>
      <c r="E43" s="8"/>
      <c r="F43" s="8"/>
      <c r="G43" s="8"/>
      <c r="H43" s="8"/>
      <c r="I43" s="8"/>
      <c r="J43" s="8"/>
    </row>
    <row r="44" spans="1:10" ht="15">
      <c r="A44" s="79" t="s">
        <v>154</v>
      </c>
      <c r="B44" s="84"/>
      <c r="C44" s="38"/>
      <c r="D44" s="8"/>
      <c r="E44" s="8"/>
      <c r="F44" s="8"/>
      <c r="G44" s="8"/>
      <c r="H44" s="8"/>
      <c r="I44" s="8"/>
      <c r="J44" s="8"/>
    </row>
    <row r="45" spans="1:10" ht="15">
      <c r="A45" s="8"/>
      <c r="B45" s="8"/>
      <c r="C45" s="8"/>
      <c r="D45" s="8"/>
      <c r="E45" s="8"/>
      <c r="F45" s="8"/>
      <c r="G45" s="8"/>
      <c r="H45" s="8"/>
      <c r="I45" s="8"/>
      <c r="J45" s="8"/>
    </row>
    <row r="46" spans="1:10" ht="15">
      <c r="A46" s="80" t="s">
        <v>155</v>
      </c>
      <c r="B46" s="84"/>
      <c r="C46" s="84"/>
      <c r="D46" s="8"/>
      <c r="E46" s="8"/>
      <c r="F46" s="8"/>
      <c r="G46" s="8"/>
      <c r="H46" s="8"/>
      <c r="I46" s="8"/>
      <c r="J46" s="8"/>
    </row>
    <row r="47" spans="1:10" ht="15">
      <c r="A47" s="80" t="s">
        <v>156</v>
      </c>
      <c r="B47" s="84"/>
      <c r="C47" s="84"/>
      <c r="D47" s="84"/>
      <c r="E47" s="84"/>
      <c r="F47" s="84"/>
      <c r="G47" s="8"/>
      <c r="H47" s="8"/>
      <c r="I47" s="8"/>
      <c r="J47" s="8"/>
    </row>
    <row r="48" spans="1:10" ht="15">
      <c r="A48" s="8"/>
      <c r="B48" s="8"/>
      <c r="C48" s="8"/>
      <c r="D48" s="8"/>
      <c r="E48" s="8"/>
      <c r="F48" s="8"/>
      <c r="G48" s="8"/>
      <c r="H48" s="8"/>
      <c r="I48" s="8"/>
      <c r="J48" s="8"/>
    </row>
    <row r="49" spans="1:10" ht="15">
      <c r="A49" s="8"/>
      <c r="B49" s="8"/>
      <c r="C49" s="8"/>
      <c r="D49" s="8"/>
      <c r="E49" s="8"/>
      <c r="F49" s="8"/>
      <c r="G49" s="8"/>
      <c r="H49" s="8"/>
      <c r="I49" s="8"/>
      <c r="J49" s="8"/>
    </row>
    <row r="50" spans="1:10" ht="15">
      <c r="A50" s="30" t="s">
        <v>59</v>
      </c>
      <c r="B50" s="8"/>
      <c r="C50" s="8"/>
      <c r="D50" s="8"/>
      <c r="E50" s="8"/>
      <c r="F50" s="8"/>
      <c r="G50" s="8"/>
      <c r="H50" s="8"/>
      <c r="I50" s="8"/>
      <c r="J50" s="8"/>
    </row>
    <row r="51" spans="1:10" ht="15">
      <c r="A51" s="78" t="s">
        <v>93</v>
      </c>
      <c r="B51" s="84"/>
      <c r="C51" s="84"/>
      <c r="D51" s="84"/>
      <c r="E51" s="84"/>
      <c r="F51" s="84"/>
      <c r="G51" s="84"/>
      <c r="H51" s="84"/>
      <c r="I51" s="8"/>
      <c r="J51" s="8"/>
    </row>
    <row r="52" spans="1:10" ht="15">
      <c r="A52" s="8"/>
      <c r="B52" s="8"/>
      <c r="C52" s="8"/>
      <c r="D52" s="8"/>
      <c r="E52" s="8"/>
      <c r="F52" s="8"/>
      <c r="G52" s="8"/>
      <c r="H52" s="8"/>
      <c r="I52" s="8"/>
      <c r="J52" s="8"/>
    </row>
    <row r="53" spans="1:10" ht="15">
      <c r="A53" s="8" t="s">
        <v>27</v>
      </c>
      <c r="B53" s="8"/>
      <c r="C53" s="8"/>
      <c r="D53" s="8"/>
      <c r="E53" s="8"/>
      <c r="F53" s="8"/>
      <c r="G53" s="8"/>
      <c r="H53" s="8"/>
      <c r="I53" s="8"/>
      <c r="J53" s="8"/>
    </row>
    <row r="54" spans="1:10" ht="15">
      <c r="A54" s="13" t="s">
        <v>29</v>
      </c>
      <c r="B54" s="13" t="s">
        <v>30</v>
      </c>
      <c r="C54" s="13" t="s">
        <v>64</v>
      </c>
      <c r="D54" s="13" t="s">
        <v>65</v>
      </c>
      <c r="E54" s="13" t="s">
        <v>67</v>
      </c>
      <c r="F54" s="13" t="s">
        <v>122</v>
      </c>
      <c r="G54" s="8"/>
      <c r="H54" s="78"/>
      <c r="I54" s="84"/>
      <c r="J54" s="8"/>
    </row>
    <row r="55" spans="1:10" ht="15">
      <c r="A55" s="18" t="s">
        <v>95</v>
      </c>
      <c r="B55" s="31">
        <v>42682</v>
      </c>
      <c r="C55" s="39" t="s">
        <v>70</v>
      </c>
      <c r="D55" s="18" t="s">
        <v>71</v>
      </c>
      <c r="E55" s="18">
        <v>261.95999999999998</v>
      </c>
      <c r="F55" s="39" t="s">
        <v>123</v>
      </c>
      <c r="G55" s="8"/>
      <c r="H55" s="35"/>
      <c r="I55" s="8"/>
      <c r="J55" s="35"/>
    </row>
    <row r="56" spans="1:10" ht="15">
      <c r="A56" s="18" t="s">
        <v>95</v>
      </c>
      <c r="B56" s="31">
        <v>42682</v>
      </c>
      <c r="C56" s="39" t="s">
        <v>70</v>
      </c>
      <c r="D56" s="18" t="s">
        <v>74</v>
      </c>
      <c r="E56" s="18">
        <v>731.94</v>
      </c>
      <c r="F56" s="39" t="s">
        <v>123</v>
      </c>
      <c r="G56" s="8"/>
      <c r="H56" s="8"/>
      <c r="I56" s="8"/>
      <c r="J56" s="8"/>
    </row>
    <row r="57" spans="1:10" ht="15">
      <c r="A57" s="18" t="s">
        <v>96</v>
      </c>
      <c r="B57" s="31">
        <v>42533</v>
      </c>
      <c r="C57" s="39" t="s">
        <v>77</v>
      </c>
      <c r="D57" s="18" t="s">
        <v>78</v>
      </c>
      <c r="E57" s="18">
        <v>14.62</v>
      </c>
      <c r="F57" s="18" t="s">
        <v>124</v>
      </c>
      <c r="G57" s="8"/>
      <c r="H57" s="8"/>
      <c r="I57" s="8"/>
      <c r="J57" s="8"/>
    </row>
    <row r="58" spans="1:10" ht="15">
      <c r="A58" s="18" t="s">
        <v>97</v>
      </c>
      <c r="B58" s="32">
        <v>42288</v>
      </c>
      <c r="C58" s="39" t="s">
        <v>70</v>
      </c>
      <c r="D58" s="18" t="s">
        <v>81</v>
      </c>
      <c r="E58" s="18">
        <v>957.57749999999999</v>
      </c>
      <c r="F58" s="18" t="s">
        <v>125</v>
      </c>
      <c r="G58" s="8"/>
      <c r="H58" s="8"/>
      <c r="I58" s="8"/>
      <c r="J58" s="8"/>
    </row>
    <row r="59" spans="1:10" ht="15">
      <c r="A59" s="18" t="s">
        <v>97</v>
      </c>
      <c r="B59" s="32">
        <v>42288</v>
      </c>
      <c r="C59" s="39" t="s">
        <v>77</v>
      </c>
      <c r="D59" s="18" t="s">
        <v>84</v>
      </c>
      <c r="E59" s="18">
        <v>22.367999999999999</v>
      </c>
      <c r="F59" s="18" t="s">
        <v>125</v>
      </c>
      <c r="G59" s="8"/>
      <c r="H59" s="8"/>
      <c r="I59" s="8"/>
      <c r="J59" s="8"/>
    </row>
    <row r="60" spans="1:10" ht="15">
      <c r="A60" s="18" t="s">
        <v>98</v>
      </c>
      <c r="B60" s="31">
        <v>41799</v>
      </c>
      <c r="C60" s="39" t="s">
        <v>70</v>
      </c>
      <c r="D60" s="18" t="s">
        <v>100</v>
      </c>
      <c r="E60" s="18">
        <v>48.86</v>
      </c>
      <c r="F60" s="18" t="s">
        <v>124</v>
      </c>
      <c r="G60" s="8"/>
      <c r="H60" s="8"/>
      <c r="I60" s="8"/>
      <c r="J60" s="8"/>
    </row>
    <row r="61" spans="1:10" ht="15">
      <c r="A61" s="18" t="s">
        <v>98</v>
      </c>
      <c r="B61" s="31">
        <v>41799</v>
      </c>
      <c r="C61" s="18" t="s">
        <v>77</v>
      </c>
      <c r="D61" s="18" t="s">
        <v>102</v>
      </c>
      <c r="E61" s="18">
        <v>7.28</v>
      </c>
      <c r="F61" s="18" t="s">
        <v>124</v>
      </c>
      <c r="G61" s="8"/>
      <c r="H61" s="8"/>
      <c r="I61" s="8"/>
      <c r="J61" s="8"/>
    </row>
    <row r="62" spans="1:10" ht="15">
      <c r="A62" s="18" t="s">
        <v>98</v>
      </c>
      <c r="B62" s="31">
        <v>41799</v>
      </c>
      <c r="C62" s="18" t="s">
        <v>104</v>
      </c>
      <c r="D62" s="18" t="s">
        <v>105</v>
      </c>
      <c r="E62" s="18">
        <v>907.15200000000004</v>
      </c>
      <c r="F62" s="18" t="s">
        <v>124</v>
      </c>
      <c r="G62" s="8"/>
      <c r="H62" s="8"/>
      <c r="I62" s="8"/>
      <c r="J62" s="8"/>
    </row>
    <row r="63" spans="1:10" ht="15">
      <c r="A63" s="18" t="s">
        <v>98</v>
      </c>
      <c r="B63" s="31">
        <v>41799</v>
      </c>
      <c r="C63" s="18" t="s">
        <v>77</v>
      </c>
      <c r="D63" s="18" t="s">
        <v>107</v>
      </c>
      <c r="E63" s="18">
        <v>18.504000000000001</v>
      </c>
      <c r="F63" s="18" t="s">
        <v>124</v>
      </c>
      <c r="G63" s="8"/>
      <c r="H63" s="8"/>
      <c r="I63" s="8"/>
      <c r="J63" s="8"/>
    </row>
    <row r="64" spans="1:10" ht="15">
      <c r="A64" s="8"/>
      <c r="B64" s="8"/>
      <c r="C64" s="8"/>
      <c r="D64" s="8"/>
      <c r="E64" s="8"/>
      <c r="F64" s="8"/>
      <c r="G64" s="8"/>
      <c r="H64" s="8"/>
      <c r="I64" s="8"/>
      <c r="J64" s="8"/>
    </row>
    <row r="65" spans="1:10" ht="15">
      <c r="A65" s="87" t="s">
        <v>157</v>
      </c>
      <c r="B65" s="84"/>
      <c r="C65" s="84"/>
      <c r="D65" s="84"/>
      <c r="E65" s="84"/>
      <c r="F65" s="8"/>
      <c r="G65" s="8"/>
      <c r="H65" s="8"/>
      <c r="I65" s="8"/>
      <c r="J65" s="8"/>
    </row>
    <row r="66" spans="1:10" ht="15">
      <c r="A66" s="33">
        <f>COUNTIF(C55:C63,C55)</f>
        <v>4</v>
      </c>
      <c r="B66" s="8"/>
      <c r="C66" s="8"/>
      <c r="D66" s="8"/>
      <c r="E66" s="8"/>
      <c r="F66" s="8"/>
      <c r="G66" s="8"/>
      <c r="H66" s="8"/>
      <c r="I66" s="8"/>
      <c r="J66" s="8"/>
    </row>
    <row r="67" spans="1:10" ht="15">
      <c r="A67" s="8"/>
      <c r="B67" s="8"/>
      <c r="C67" s="8"/>
      <c r="D67" s="8"/>
      <c r="E67" s="8"/>
      <c r="F67" s="8"/>
      <c r="G67" s="8"/>
      <c r="H67" s="8"/>
      <c r="I67" s="8"/>
      <c r="J67" s="8"/>
    </row>
    <row r="68" spans="1:10" ht="15">
      <c r="A68" s="82" t="s">
        <v>158</v>
      </c>
      <c r="B68" s="84"/>
      <c r="C68" s="84"/>
      <c r="D68" s="84"/>
      <c r="E68" s="84"/>
      <c r="F68" s="84"/>
      <c r="G68" s="8"/>
      <c r="H68" s="8"/>
      <c r="I68" s="8"/>
      <c r="J68" s="8"/>
    </row>
    <row r="69" spans="1:10" ht="15">
      <c r="A69" s="33">
        <f>COUNTIFS(C55:C63,C57,F55:F63,F60)</f>
        <v>3</v>
      </c>
      <c r="B69" s="35"/>
      <c r="C69" s="8"/>
      <c r="D69" s="8"/>
      <c r="E69" s="8"/>
      <c r="F69" s="8"/>
      <c r="G69" s="8"/>
      <c r="H69" s="8"/>
      <c r="I69" s="8"/>
      <c r="J69" s="8"/>
    </row>
    <row r="71" spans="1:10" ht="15">
      <c r="A71" s="7" t="s">
        <v>159</v>
      </c>
      <c r="B71" s="8"/>
      <c r="C71" s="8"/>
      <c r="D71" s="8"/>
      <c r="E71" s="8"/>
      <c r="F71" s="8"/>
      <c r="G71" s="8"/>
    </row>
    <row r="72" spans="1:10" ht="15">
      <c r="A72" s="8"/>
      <c r="B72" s="8"/>
      <c r="C72" s="8"/>
      <c r="D72" s="8"/>
      <c r="E72" s="8"/>
      <c r="F72" s="8"/>
      <c r="G72" s="8"/>
    </row>
    <row r="73" spans="1:10" ht="15">
      <c r="A73" s="79" t="s">
        <v>160</v>
      </c>
      <c r="B73" s="84"/>
      <c r="C73" s="84"/>
      <c r="D73" s="84"/>
      <c r="E73" s="84"/>
      <c r="F73" s="84"/>
      <c r="G73" s="8"/>
    </row>
    <row r="74" spans="1:10" ht="15">
      <c r="A74" s="79" t="s">
        <v>161</v>
      </c>
      <c r="B74" s="84"/>
      <c r="C74" s="8"/>
      <c r="D74" s="8"/>
      <c r="E74" s="8"/>
      <c r="F74" s="8"/>
      <c r="G74" s="8"/>
    </row>
    <row r="75" spans="1:10" ht="15">
      <c r="A75" s="8"/>
      <c r="B75" s="8"/>
      <c r="C75" s="8"/>
      <c r="D75" s="8"/>
      <c r="E75" s="8"/>
      <c r="F75" s="8"/>
      <c r="G75" s="8"/>
    </row>
    <row r="76" spans="1:10" ht="15">
      <c r="A76" s="8"/>
      <c r="B76" s="8"/>
      <c r="C76" s="8"/>
      <c r="D76" s="8"/>
      <c r="E76" s="8"/>
      <c r="F76" s="8"/>
      <c r="G76" s="8"/>
    </row>
    <row r="77" spans="1:10" ht="15">
      <c r="A77" s="10" t="s">
        <v>55</v>
      </c>
      <c r="B77" s="8"/>
      <c r="C77" s="8"/>
      <c r="D77" s="8"/>
      <c r="E77" s="8"/>
      <c r="F77" s="8"/>
      <c r="G77" s="8"/>
    </row>
    <row r="78" spans="1:10" ht="15">
      <c r="A78" s="79" t="s">
        <v>162</v>
      </c>
      <c r="B78" s="84"/>
      <c r="C78" s="8"/>
      <c r="D78" s="8"/>
      <c r="E78" s="8"/>
      <c r="F78" s="8"/>
      <c r="G78" s="8"/>
    </row>
    <row r="79" spans="1:10" ht="15">
      <c r="A79" s="8"/>
      <c r="B79" s="8"/>
      <c r="C79" s="8"/>
      <c r="D79" s="8"/>
      <c r="E79" s="8"/>
      <c r="F79" s="8"/>
      <c r="G79" s="8"/>
    </row>
    <row r="80" spans="1:10" ht="15">
      <c r="A80" s="80" t="s">
        <v>163</v>
      </c>
      <c r="B80" s="84"/>
      <c r="C80" s="8"/>
      <c r="D80" s="8"/>
      <c r="E80" s="8"/>
      <c r="F80" s="8"/>
      <c r="G80" s="8"/>
    </row>
    <row r="81" spans="1:7" ht="15">
      <c r="A81" s="88" t="s">
        <v>164</v>
      </c>
      <c r="B81" s="84"/>
      <c r="C81" s="84"/>
      <c r="D81" s="8"/>
      <c r="E81" s="8"/>
      <c r="F81" s="8"/>
      <c r="G81" s="8"/>
    </row>
    <row r="82" spans="1:7" ht="15">
      <c r="A82" s="8"/>
      <c r="B82" s="8"/>
      <c r="C82" s="8"/>
      <c r="D82" s="8"/>
      <c r="E82" s="8"/>
      <c r="F82" s="8"/>
      <c r="G82" s="8"/>
    </row>
    <row r="83" spans="1:7" ht="15">
      <c r="A83" s="8"/>
      <c r="B83" s="8"/>
      <c r="C83" s="8"/>
      <c r="D83" s="8"/>
      <c r="E83" s="8"/>
      <c r="F83" s="8"/>
      <c r="G83" s="8"/>
    </row>
    <row r="84" spans="1:7" ht="15">
      <c r="A84" s="30" t="s">
        <v>59</v>
      </c>
      <c r="B84" s="8"/>
      <c r="C84" s="8"/>
      <c r="D84" s="8"/>
      <c r="E84" s="8"/>
      <c r="F84" s="8"/>
      <c r="G84" s="8"/>
    </row>
    <row r="85" spans="1:7" ht="15">
      <c r="A85" s="89" t="s">
        <v>165</v>
      </c>
      <c r="B85" s="84"/>
      <c r="C85" s="84"/>
      <c r="D85" s="84"/>
      <c r="E85" s="84"/>
      <c r="F85" s="8"/>
      <c r="G85" s="8"/>
    </row>
    <row r="86" spans="1:7" ht="15">
      <c r="A86" s="89" t="s">
        <v>166</v>
      </c>
      <c r="B86" s="84"/>
      <c r="C86" s="84"/>
      <c r="D86" s="84"/>
      <c r="E86" s="8"/>
      <c r="F86" s="8"/>
      <c r="G86" s="8"/>
    </row>
    <row r="87" spans="1:7" ht="15">
      <c r="A87" s="89" t="s">
        <v>167</v>
      </c>
      <c r="B87" s="84"/>
      <c r="C87" s="84"/>
      <c r="D87" s="84"/>
      <c r="E87" s="8"/>
      <c r="F87" s="8"/>
      <c r="G87" s="8"/>
    </row>
    <row r="88" spans="1:7" ht="15">
      <c r="A88" s="8"/>
      <c r="B88" s="8"/>
      <c r="C88" s="8"/>
      <c r="D88" s="8"/>
      <c r="E88" s="8"/>
      <c r="F88" s="8"/>
      <c r="G88" s="8"/>
    </row>
    <row r="89" spans="1:7" ht="15">
      <c r="A89" s="40" t="s">
        <v>168</v>
      </c>
      <c r="B89" s="8"/>
      <c r="C89" s="8"/>
      <c r="D89" s="8"/>
      <c r="E89" s="8"/>
      <c r="F89" s="8"/>
      <c r="G89" s="8"/>
    </row>
    <row r="90" spans="1:7" ht="15">
      <c r="A90" s="13" t="s">
        <v>29</v>
      </c>
      <c r="B90" s="13" t="s">
        <v>30</v>
      </c>
      <c r="C90" s="13" t="s">
        <v>63</v>
      </c>
      <c r="D90" s="13" t="s">
        <v>64</v>
      </c>
      <c r="E90" s="13" t="s">
        <v>65</v>
      </c>
      <c r="F90" s="13" t="s">
        <v>66</v>
      </c>
      <c r="G90" s="13" t="s">
        <v>67</v>
      </c>
    </row>
    <row r="91" spans="1:7" ht="15">
      <c r="A91" s="18" t="s">
        <v>95</v>
      </c>
      <c r="B91" s="31">
        <v>42682</v>
      </c>
      <c r="C91" s="18" t="s">
        <v>69</v>
      </c>
      <c r="D91" s="18" t="s">
        <v>70</v>
      </c>
      <c r="E91" s="18" t="s">
        <v>71</v>
      </c>
      <c r="F91" s="18" t="s">
        <v>72</v>
      </c>
      <c r="G91" s="18">
        <v>261.95999999999998</v>
      </c>
    </row>
    <row r="92" spans="1:7" ht="15">
      <c r="A92" s="18" t="s">
        <v>95</v>
      </c>
      <c r="B92" s="31">
        <v>42682</v>
      </c>
      <c r="C92" s="18" t="s">
        <v>73</v>
      </c>
      <c r="D92" s="18" t="s">
        <v>70</v>
      </c>
      <c r="E92" s="18" t="s">
        <v>74</v>
      </c>
      <c r="F92" s="18" t="s">
        <v>75</v>
      </c>
      <c r="G92" s="18">
        <v>731.94</v>
      </c>
    </row>
    <row r="93" spans="1:7" ht="15">
      <c r="A93" s="18" t="s">
        <v>96</v>
      </c>
      <c r="B93" s="31">
        <v>42533</v>
      </c>
      <c r="C93" s="18" t="s">
        <v>76</v>
      </c>
      <c r="D93" s="18" t="s">
        <v>77</v>
      </c>
      <c r="E93" s="18" t="s">
        <v>78</v>
      </c>
      <c r="F93" s="18" t="s">
        <v>79</v>
      </c>
      <c r="G93" s="18">
        <v>14.62</v>
      </c>
    </row>
    <row r="94" spans="1:7" ht="15">
      <c r="A94" s="18" t="s">
        <v>97</v>
      </c>
      <c r="B94" s="32">
        <v>42288</v>
      </c>
      <c r="C94" s="18" t="s">
        <v>80</v>
      </c>
      <c r="D94" s="18" t="s">
        <v>70</v>
      </c>
      <c r="E94" s="18" t="s">
        <v>81</v>
      </c>
      <c r="F94" s="18" t="s">
        <v>82</v>
      </c>
      <c r="G94" s="18">
        <v>957.57749999999999</v>
      </c>
    </row>
    <row r="95" spans="1:7" ht="15">
      <c r="A95" s="18"/>
      <c r="B95" s="18"/>
      <c r="C95" s="18"/>
      <c r="D95" s="18"/>
      <c r="E95" s="18"/>
      <c r="F95" s="18"/>
      <c r="G95" s="18"/>
    </row>
    <row r="96" spans="1:7" ht="15">
      <c r="A96" s="18"/>
      <c r="B96" s="18"/>
      <c r="C96" s="18"/>
      <c r="D96" s="18"/>
      <c r="E96" s="18"/>
      <c r="F96" s="18"/>
      <c r="G96" s="18"/>
    </row>
    <row r="97" spans="1:7" ht="15">
      <c r="A97" s="18" t="s">
        <v>97</v>
      </c>
      <c r="B97" s="32">
        <v>42288</v>
      </c>
      <c r="C97" s="18" t="s">
        <v>83</v>
      </c>
      <c r="D97" s="18" t="s">
        <v>77</v>
      </c>
      <c r="E97" s="18" t="s">
        <v>84</v>
      </c>
      <c r="F97" s="18" t="s">
        <v>85</v>
      </c>
      <c r="G97" s="18">
        <v>22.367999999999999</v>
      </c>
    </row>
    <row r="98" spans="1:7" ht="15">
      <c r="A98" s="18" t="s">
        <v>98</v>
      </c>
      <c r="B98" s="31">
        <v>41799</v>
      </c>
      <c r="C98" s="18" t="s">
        <v>99</v>
      </c>
      <c r="D98" s="18" t="s">
        <v>70</v>
      </c>
      <c r="E98" s="18" t="s">
        <v>100</v>
      </c>
      <c r="F98" s="18" t="s">
        <v>126</v>
      </c>
      <c r="G98" s="18">
        <v>48.86</v>
      </c>
    </row>
    <row r="99" spans="1:7" ht="15">
      <c r="A99" s="18" t="s">
        <v>98</v>
      </c>
      <c r="B99" s="31">
        <v>41799</v>
      </c>
      <c r="C99" s="18" t="s">
        <v>101</v>
      </c>
      <c r="D99" s="18" t="s">
        <v>77</v>
      </c>
      <c r="E99" s="18" t="s">
        <v>102</v>
      </c>
      <c r="F99" s="18" t="s">
        <v>127</v>
      </c>
      <c r="G99" s="18">
        <v>7.28</v>
      </c>
    </row>
    <row r="100" spans="1:7" ht="15">
      <c r="A100" s="18" t="s">
        <v>98</v>
      </c>
      <c r="B100" s="31">
        <v>41799</v>
      </c>
      <c r="C100" s="18" t="s">
        <v>103</v>
      </c>
      <c r="D100" s="18" t="s">
        <v>104</v>
      </c>
      <c r="E100" s="18" t="s">
        <v>105</v>
      </c>
      <c r="F100" s="18" t="s">
        <v>128</v>
      </c>
      <c r="G100" s="18">
        <v>907.15200000000004</v>
      </c>
    </row>
    <row r="101" spans="1:7" ht="15">
      <c r="A101" s="18"/>
      <c r="B101" s="18"/>
      <c r="C101" s="18"/>
      <c r="D101" s="18"/>
      <c r="E101" s="18"/>
      <c r="F101" s="18"/>
      <c r="G101" s="18"/>
    </row>
    <row r="102" spans="1:7" ht="15">
      <c r="A102" s="18" t="s">
        <v>98</v>
      </c>
      <c r="B102" s="31">
        <v>41799</v>
      </c>
      <c r="C102" s="18" t="s">
        <v>106</v>
      </c>
      <c r="D102" s="18" t="s">
        <v>77</v>
      </c>
      <c r="E102" s="18" t="s">
        <v>107</v>
      </c>
      <c r="F102" s="18" t="s">
        <v>129</v>
      </c>
      <c r="G102" s="18">
        <v>18.504000000000001</v>
      </c>
    </row>
    <row r="103" spans="1:7" ht="15">
      <c r="A103" s="8"/>
      <c r="B103" s="8"/>
      <c r="C103" s="8"/>
      <c r="D103" s="8"/>
      <c r="E103" s="8"/>
      <c r="F103" s="8"/>
      <c r="G103" s="8"/>
    </row>
    <row r="104" spans="1:7" ht="15">
      <c r="A104" s="41" t="s">
        <v>150</v>
      </c>
      <c r="B104" s="8"/>
      <c r="C104" s="8"/>
      <c r="D104" s="8"/>
      <c r="E104" s="8"/>
      <c r="F104" s="8"/>
      <c r="G104" s="8"/>
    </row>
    <row r="105" spans="1:7" ht="15">
      <c r="A105" s="42"/>
      <c r="B105" s="8"/>
      <c r="C105" s="8"/>
      <c r="D105" s="8"/>
      <c r="E105" s="8"/>
      <c r="F105" s="8"/>
      <c r="G105" s="8"/>
    </row>
    <row r="106" spans="1:7" ht="15">
      <c r="A106" s="43"/>
      <c r="B106" s="8"/>
      <c r="C106" s="8"/>
      <c r="D106" s="8"/>
      <c r="E106" s="8"/>
      <c r="F106" s="8"/>
      <c r="G106" s="8"/>
    </row>
    <row r="108" spans="1:7" ht="15">
      <c r="A108" s="90" t="s">
        <v>169</v>
      </c>
      <c r="B108" s="84"/>
      <c r="C108" s="20"/>
      <c r="D108" s="20"/>
      <c r="E108" s="20"/>
      <c r="F108" s="20"/>
      <c r="G108" s="20"/>
    </row>
    <row r="109" spans="1:7" ht="15">
      <c r="A109" s="20"/>
      <c r="B109" s="20"/>
      <c r="C109" s="20"/>
      <c r="D109" s="20"/>
      <c r="E109" s="20"/>
      <c r="F109" s="20"/>
      <c r="G109" s="20"/>
    </row>
    <row r="110" spans="1:7" ht="15">
      <c r="A110" s="86" t="s">
        <v>170</v>
      </c>
      <c r="B110" s="84"/>
      <c r="C110" s="84"/>
      <c r="D110" s="84"/>
      <c r="E110" s="20"/>
      <c r="F110" s="20"/>
      <c r="G110" s="20"/>
    </row>
    <row r="111" spans="1:7" ht="15">
      <c r="A111" s="86" t="s">
        <v>171</v>
      </c>
      <c r="B111" s="84"/>
      <c r="C111" s="84"/>
      <c r="D111" s="20"/>
      <c r="E111" s="20"/>
      <c r="F111" s="20"/>
      <c r="G111" s="20"/>
    </row>
    <row r="112" spans="1:7" ht="15">
      <c r="A112" s="20"/>
      <c r="B112" s="20"/>
      <c r="C112" s="20"/>
      <c r="D112" s="20"/>
      <c r="E112" s="20"/>
      <c r="F112" s="20"/>
      <c r="G112" s="20"/>
    </row>
    <row r="113" spans="1:7" ht="15">
      <c r="A113" s="20"/>
      <c r="B113" s="20"/>
      <c r="C113" s="20"/>
      <c r="D113" s="20"/>
      <c r="E113" s="20"/>
      <c r="F113" s="20"/>
      <c r="G113" s="20"/>
    </row>
    <row r="114" spans="1:7" ht="15">
      <c r="A114" s="22" t="s">
        <v>55</v>
      </c>
      <c r="B114" s="20"/>
      <c r="C114" s="20"/>
      <c r="D114" s="20"/>
      <c r="E114" s="20"/>
      <c r="F114" s="20"/>
      <c r="G114" s="20"/>
    </row>
    <row r="115" spans="1:7" ht="15">
      <c r="A115" s="44" t="s">
        <v>172</v>
      </c>
      <c r="B115" s="20"/>
      <c r="C115" s="20"/>
      <c r="D115" s="20"/>
      <c r="E115" s="20"/>
      <c r="F115" s="20"/>
      <c r="G115" s="20"/>
    </row>
    <row r="116" spans="1:7" ht="15">
      <c r="A116" s="20"/>
      <c r="B116" s="20"/>
      <c r="C116" s="20"/>
      <c r="D116" s="20"/>
      <c r="E116" s="20"/>
      <c r="F116" s="20"/>
      <c r="G116" s="20"/>
    </row>
    <row r="117" spans="1:7" ht="15">
      <c r="A117" s="92" t="s">
        <v>173</v>
      </c>
      <c r="B117" s="84"/>
      <c r="C117" s="84"/>
      <c r="D117" s="20"/>
      <c r="E117" s="20"/>
      <c r="F117" s="20"/>
      <c r="G117" s="20"/>
    </row>
    <row r="118" spans="1:7" ht="15">
      <c r="A118" s="20"/>
      <c r="B118" s="20"/>
      <c r="C118" s="20"/>
      <c r="D118" s="20"/>
      <c r="E118" s="20"/>
      <c r="F118" s="20"/>
      <c r="G118" s="20"/>
    </row>
    <row r="119" spans="1:7" ht="15">
      <c r="A119" s="20"/>
      <c r="B119" s="20"/>
      <c r="C119" s="20"/>
      <c r="D119" s="20"/>
      <c r="E119" s="20"/>
      <c r="F119" s="20"/>
      <c r="G119" s="20"/>
    </row>
    <row r="120" spans="1:7" ht="15">
      <c r="A120" s="23" t="s">
        <v>59</v>
      </c>
      <c r="B120" s="20"/>
      <c r="C120" s="20"/>
      <c r="D120" s="20"/>
      <c r="E120" s="20"/>
      <c r="F120" s="20"/>
      <c r="G120" s="20"/>
    </row>
    <row r="121" spans="1:7" ht="15">
      <c r="A121" s="93" t="s">
        <v>174</v>
      </c>
      <c r="B121" s="84"/>
      <c r="C121" s="84"/>
      <c r="D121" s="84"/>
      <c r="E121" s="20"/>
      <c r="F121" s="20"/>
      <c r="G121" s="20"/>
    </row>
    <row r="122" spans="1:7" ht="15">
      <c r="A122" s="93" t="s">
        <v>175</v>
      </c>
      <c r="B122" s="84"/>
      <c r="C122" s="84"/>
      <c r="D122" s="84"/>
      <c r="E122" s="84"/>
      <c r="F122" s="20"/>
      <c r="G122" s="20"/>
    </row>
    <row r="123" spans="1:7" ht="15">
      <c r="A123" s="93" t="s">
        <v>176</v>
      </c>
      <c r="B123" s="84"/>
      <c r="C123" s="84"/>
      <c r="D123" s="84"/>
      <c r="E123" s="20"/>
      <c r="F123" s="20"/>
      <c r="G123" s="20"/>
    </row>
    <row r="124" spans="1:7" ht="15">
      <c r="A124" s="20"/>
      <c r="B124" s="20"/>
      <c r="C124" s="20"/>
      <c r="D124" s="20"/>
      <c r="E124" s="20"/>
      <c r="F124" s="20"/>
      <c r="G124" s="20"/>
    </row>
    <row r="125" spans="1:7" ht="15">
      <c r="A125" s="45" t="s">
        <v>168</v>
      </c>
      <c r="B125" s="20"/>
      <c r="C125" s="20"/>
      <c r="D125" s="20"/>
      <c r="E125" s="20"/>
      <c r="F125" s="20"/>
      <c r="G125" s="20"/>
    </row>
    <row r="126" spans="1:7">
      <c r="A126" s="24" t="s">
        <v>29</v>
      </c>
      <c r="B126" s="24" t="s">
        <v>30</v>
      </c>
      <c r="C126" s="24" t="s">
        <v>63</v>
      </c>
      <c r="D126" s="24" t="s">
        <v>64</v>
      </c>
      <c r="E126" s="24" t="s">
        <v>65</v>
      </c>
      <c r="F126" s="24" t="s">
        <v>66</v>
      </c>
      <c r="G126" s="24" t="s">
        <v>67</v>
      </c>
    </row>
    <row r="127" spans="1:7" ht="15">
      <c r="A127" s="25" t="s">
        <v>95</v>
      </c>
      <c r="B127" s="26">
        <v>42682</v>
      </c>
      <c r="C127" s="25" t="s">
        <v>69</v>
      </c>
      <c r="D127" s="25" t="s">
        <v>70</v>
      </c>
      <c r="E127" s="25" t="s">
        <v>71</v>
      </c>
      <c r="F127" s="25" t="s">
        <v>72</v>
      </c>
      <c r="G127" s="25">
        <v>261.95999999999998</v>
      </c>
    </row>
    <row r="128" spans="1:7" ht="15">
      <c r="A128" s="25" t="s">
        <v>95</v>
      </c>
      <c r="B128" s="26">
        <v>42682</v>
      </c>
      <c r="C128" s="25" t="s">
        <v>73</v>
      </c>
      <c r="D128" s="25" t="s">
        <v>70</v>
      </c>
      <c r="E128" s="25" t="s">
        <v>74</v>
      </c>
      <c r="F128" s="25" t="s">
        <v>75</v>
      </c>
      <c r="G128" s="25">
        <v>731.94</v>
      </c>
    </row>
    <row r="129" spans="1:7" ht="15">
      <c r="A129" s="25" t="s">
        <v>96</v>
      </c>
      <c r="B129" s="26">
        <v>42533</v>
      </c>
      <c r="C129" s="25" t="s">
        <v>76</v>
      </c>
      <c r="D129" s="25" t="s">
        <v>77</v>
      </c>
      <c r="E129" s="25" t="s">
        <v>78</v>
      </c>
      <c r="F129" s="25" t="s">
        <v>79</v>
      </c>
      <c r="G129" s="25">
        <v>14.62</v>
      </c>
    </row>
    <row r="130" spans="1:7" ht="15">
      <c r="A130" s="25" t="s">
        <v>97</v>
      </c>
      <c r="B130" s="27">
        <v>42288</v>
      </c>
      <c r="C130" s="25" t="s">
        <v>80</v>
      </c>
      <c r="D130" s="25" t="s">
        <v>70</v>
      </c>
      <c r="E130" s="25" t="s">
        <v>81</v>
      </c>
      <c r="F130" s="25" t="s">
        <v>82</v>
      </c>
      <c r="G130" s="25">
        <v>957.57749999999999</v>
      </c>
    </row>
    <row r="131" spans="1:7" ht="15">
      <c r="A131" s="25"/>
      <c r="B131" s="27">
        <v>42318</v>
      </c>
      <c r="C131" s="25"/>
      <c r="D131" s="25"/>
      <c r="E131" s="25"/>
      <c r="F131" s="25"/>
      <c r="G131" s="25"/>
    </row>
    <row r="132" spans="1:7" ht="15">
      <c r="A132" s="25"/>
      <c r="B132" s="27">
        <v>42348</v>
      </c>
      <c r="C132" s="25"/>
      <c r="D132" s="25"/>
      <c r="E132" s="25"/>
      <c r="F132" s="25"/>
      <c r="G132" s="25"/>
    </row>
    <row r="133" spans="1:7" ht="15">
      <c r="A133" s="25" t="s">
        <v>97</v>
      </c>
      <c r="B133" s="27">
        <v>42349</v>
      </c>
      <c r="C133" s="25" t="s">
        <v>83</v>
      </c>
      <c r="D133" s="25" t="s">
        <v>77</v>
      </c>
      <c r="E133" s="25" t="s">
        <v>84</v>
      </c>
      <c r="F133" s="25" t="s">
        <v>85</v>
      </c>
      <c r="G133" s="25">
        <v>22.367999999999999</v>
      </c>
    </row>
    <row r="134" spans="1:7" ht="15">
      <c r="A134" s="25" t="s">
        <v>98</v>
      </c>
      <c r="B134" s="26">
        <v>41799</v>
      </c>
      <c r="C134" s="25" t="s">
        <v>99</v>
      </c>
      <c r="D134" s="25" t="s">
        <v>70</v>
      </c>
      <c r="E134" s="25" t="s">
        <v>100</v>
      </c>
      <c r="F134" s="25" t="s">
        <v>126</v>
      </c>
      <c r="G134" s="25">
        <v>48.86</v>
      </c>
    </row>
    <row r="135" spans="1:7" ht="15">
      <c r="A135" s="25" t="s">
        <v>98</v>
      </c>
      <c r="B135" s="26">
        <v>41799</v>
      </c>
      <c r="C135" s="25" t="s">
        <v>101</v>
      </c>
      <c r="D135" s="25" t="s">
        <v>77</v>
      </c>
      <c r="E135" s="25" t="s">
        <v>102</v>
      </c>
      <c r="F135" s="25" t="s">
        <v>127</v>
      </c>
      <c r="G135" s="25">
        <v>7.28</v>
      </c>
    </row>
    <row r="136" spans="1:7" ht="15">
      <c r="A136" s="25" t="s">
        <v>98</v>
      </c>
      <c r="B136" s="26">
        <v>41799</v>
      </c>
      <c r="C136" s="25" t="s">
        <v>103</v>
      </c>
      <c r="D136" s="25" t="s">
        <v>104</v>
      </c>
      <c r="E136" s="25" t="s">
        <v>105</v>
      </c>
      <c r="F136" s="25" t="s">
        <v>128</v>
      </c>
      <c r="G136" s="25">
        <v>907.15200000000004</v>
      </c>
    </row>
    <row r="137" spans="1:7" ht="15">
      <c r="A137" s="25"/>
      <c r="B137" s="26">
        <v>41829</v>
      </c>
      <c r="C137" s="25"/>
      <c r="D137" s="25"/>
      <c r="E137" s="25"/>
      <c r="F137" s="25"/>
      <c r="G137" s="25"/>
    </row>
    <row r="138" spans="1:7" ht="15">
      <c r="A138" s="25" t="s">
        <v>98</v>
      </c>
      <c r="B138" s="26">
        <v>41860</v>
      </c>
      <c r="C138" s="25" t="s">
        <v>106</v>
      </c>
      <c r="D138" s="25" t="s">
        <v>77</v>
      </c>
      <c r="E138" s="25" t="s">
        <v>107</v>
      </c>
      <c r="F138" s="25" t="s">
        <v>129</v>
      </c>
      <c r="G138" s="25">
        <v>18.504000000000001</v>
      </c>
    </row>
    <row r="139" spans="1:7" ht="15">
      <c r="A139" s="20"/>
      <c r="B139" s="20"/>
      <c r="C139" s="20"/>
      <c r="D139" s="20"/>
      <c r="E139" s="20"/>
      <c r="F139" s="20"/>
      <c r="G139" s="20"/>
    </row>
    <row r="140" spans="1:7" ht="15">
      <c r="A140" s="20"/>
      <c r="B140" s="20"/>
      <c r="C140" s="20"/>
      <c r="D140" s="20"/>
      <c r="E140" s="20"/>
      <c r="F140" s="20"/>
      <c r="G140" s="20"/>
    </row>
    <row r="141" spans="1:7" ht="15">
      <c r="A141" s="94" t="s">
        <v>177</v>
      </c>
      <c r="B141" s="84"/>
      <c r="C141" s="84"/>
      <c r="D141" s="84"/>
      <c r="E141" s="20"/>
      <c r="F141" s="20"/>
      <c r="G141" s="20"/>
    </row>
    <row r="142" spans="1:7" ht="15">
      <c r="A142" s="28">
        <f>COUNTBLANK(A127:A138)</f>
        <v>3</v>
      </c>
      <c r="B142" s="20"/>
      <c r="C142" s="20"/>
      <c r="D142" s="20"/>
      <c r="E142" s="20"/>
      <c r="F142" s="20"/>
      <c r="G142" s="20"/>
    </row>
    <row r="143" spans="1:7" ht="15">
      <c r="A143" s="46"/>
      <c r="B143" s="20"/>
      <c r="C143" s="20"/>
      <c r="D143" s="20"/>
      <c r="E143" s="20"/>
      <c r="F143" s="20"/>
      <c r="G143" s="20"/>
    </row>
    <row r="144" spans="1:7" ht="15">
      <c r="A144" s="91" t="s">
        <v>178</v>
      </c>
      <c r="B144" s="84"/>
      <c r="C144" s="84"/>
      <c r="D144" s="20"/>
      <c r="E144" s="20"/>
      <c r="F144" s="20"/>
      <c r="G144" s="20"/>
    </row>
    <row r="145" spans="1:7" ht="15">
      <c r="A145" s="47">
        <f>COUNTBLANK(G127:G138)</f>
        <v>3</v>
      </c>
      <c r="B145" s="20"/>
      <c r="C145" s="20"/>
      <c r="D145" s="20"/>
      <c r="E145" s="20"/>
      <c r="F145" s="20"/>
      <c r="G145" s="20"/>
    </row>
  </sheetData>
  <mergeCells count="31">
    <mergeCell ref="A144:C144"/>
    <mergeCell ref="A111:C111"/>
    <mergeCell ref="A117:C117"/>
    <mergeCell ref="A121:D121"/>
    <mergeCell ref="A122:E122"/>
    <mergeCell ref="A123:D123"/>
    <mergeCell ref="A141:D141"/>
    <mergeCell ref="A110:D110"/>
    <mergeCell ref="A65:E65"/>
    <mergeCell ref="A68:F68"/>
    <mergeCell ref="A73:F73"/>
    <mergeCell ref="A74:B74"/>
    <mergeCell ref="A78:B78"/>
    <mergeCell ref="A80:B80"/>
    <mergeCell ref="A81:C81"/>
    <mergeCell ref="A85:E85"/>
    <mergeCell ref="A86:D86"/>
    <mergeCell ref="A87:D87"/>
    <mergeCell ref="A108:B108"/>
    <mergeCell ref="H54:I54"/>
    <mergeCell ref="A3:F3"/>
    <mergeCell ref="A6:B6"/>
    <mergeCell ref="A8:B8"/>
    <mergeCell ref="A9:B9"/>
    <mergeCell ref="A13:B13"/>
    <mergeCell ref="A14:B14"/>
    <mergeCell ref="A39:H39"/>
    <mergeCell ref="A44:B44"/>
    <mergeCell ref="A46:C46"/>
    <mergeCell ref="A47:F47"/>
    <mergeCell ref="A51:H51"/>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0" summaryRight="0"/>
  </sheetPr>
  <dimension ref="A1:G115"/>
  <sheetViews>
    <sheetView topLeftCell="A106" workbookViewId="0">
      <selection activeCell="A129" sqref="A129"/>
    </sheetView>
  </sheetViews>
  <sheetFormatPr defaultColWidth="12.7109375" defaultRowHeight="15.75" customHeight="1"/>
  <cols>
    <col min="1" max="1" width="12.7109375" style="9"/>
    <col min="2" max="2" width="18.85546875" style="9" bestFit="1" customWidth="1"/>
    <col min="3" max="16384" width="12.7109375" style="9"/>
  </cols>
  <sheetData>
    <row r="1" spans="1:6" ht="15.75" customHeight="1">
      <c r="A1" s="7" t="s">
        <v>179</v>
      </c>
      <c r="B1" s="8"/>
      <c r="C1" s="8"/>
      <c r="D1" s="8"/>
      <c r="E1" s="8"/>
      <c r="F1" s="8"/>
    </row>
    <row r="2" spans="1:6" ht="15.75" customHeight="1">
      <c r="A2" s="8"/>
      <c r="B2" s="8"/>
      <c r="C2" s="8"/>
      <c r="D2" s="8"/>
      <c r="E2" s="8"/>
      <c r="F2" s="8"/>
    </row>
    <row r="3" spans="1:6" ht="15.75" customHeight="1">
      <c r="A3" s="79" t="s">
        <v>180</v>
      </c>
      <c r="B3" s="84"/>
      <c r="C3" s="84"/>
      <c r="D3" s="84"/>
      <c r="E3" s="84"/>
      <c r="F3" s="84"/>
    </row>
    <row r="4" spans="1:6" ht="15.75" customHeight="1">
      <c r="A4" s="83" t="s">
        <v>181</v>
      </c>
      <c r="B4" s="84"/>
      <c r="C4" s="84"/>
      <c r="D4" s="84"/>
      <c r="E4" s="84"/>
      <c r="F4" s="84"/>
    </row>
    <row r="5" spans="1:6" ht="15.75" customHeight="1">
      <c r="A5" s="8"/>
      <c r="B5" s="8"/>
      <c r="C5" s="8"/>
      <c r="D5" s="8"/>
      <c r="E5" s="8"/>
      <c r="F5" s="8"/>
    </row>
    <row r="6" spans="1:6" ht="15.75" customHeight="1">
      <c r="A6" s="8"/>
      <c r="B6" s="8"/>
      <c r="C6" s="8"/>
      <c r="D6" s="8"/>
      <c r="E6" s="8"/>
      <c r="F6" s="8"/>
    </row>
    <row r="7" spans="1:6" ht="15.75" customHeight="1">
      <c r="A7" s="10" t="s">
        <v>55</v>
      </c>
      <c r="B7" s="8"/>
      <c r="C7" s="8"/>
      <c r="D7" s="8"/>
      <c r="E7" s="8"/>
      <c r="F7" s="8"/>
    </row>
    <row r="8" spans="1:6" ht="15.75" customHeight="1">
      <c r="A8" s="79" t="s">
        <v>182</v>
      </c>
      <c r="B8" s="84"/>
      <c r="C8" s="84"/>
      <c r="D8" s="8"/>
      <c r="E8" s="8"/>
      <c r="F8" s="8"/>
    </row>
    <row r="9" spans="1:6" ht="15.75" customHeight="1">
      <c r="A9" s="8"/>
      <c r="B9" s="8"/>
      <c r="C9" s="8"/>
      <c r="D9" s="8"/>
      <c r="E9" s="8"/>
      <c r="F9" s="8"/>
    </row>
    <row r="10" spans="1:6" ht="15.75" customHeight="1">
      <c r="A10" s="96" t="s">
        <v>183</v>
      </c>
      <c r="B10" s="84"/>
      <c r="C10" s="84"/>
      <c r="D10" s="84"/>
      <c r="E10" s="84"/>
      <c r="F10" s="84"/>
    </row>
    <row r="11" spans="1:6" ht="15.75" customHeight="1">
      <c r="A11" s="97" t="s">
        <v>184</v>
      </c>
      <c r="B11" s="84"/>
      <c r="C11" s="84"/>
      <c r="D11" s="84"/>
      <c r="E11" s="84"/>
      <c r="F11" s="84"/>
    </row>
    <row r="12" spans="1:6" ht="15.75" customHeight="1">
      <c r="A12" s="8"/>
      <c r="B12" s="8"/>
      <c r="C12" s="8"/>
      <c r="D12" s="8"/>
      <c r="E12" s="8"/>
      <c r="F12" s="8"/>
    </row>
    <row r="13" spans="1:6" ht="15.75" customHeight="1">
      <c r="A13" s="8"/>
      <c r="B13" s="8"/>
      <c r="C13" s="8"/>
      <c r="D13" s="8"/>
      <c r="E13" s="8"/>
      <c r="F13" s="8"/>
    </row>
    <row r="14" spans="1:6" ht="15.75" customHeight="1">
      <c r="A14" s="30" t="s">
        <v>59</v>
      </c>
      <c r="B14" s="8"/>
      <c r="C14" s="8"/>
      <c r="D14" s="8"/>
      <c r="E14" s="8"/>
      <c r="F14" s="8"/>
    </row>
    <row r="15" spans="1:6" ht="15.75" customHeight="1">
      <c r="A15" s="95" t="s">
        <v>185</v>
      </c>
      <c r="B15" s="84"/>
      <c r="C15" s="84"/>
      <c r="D15" s="84"/>
      <c r="E15" s="84"/>
      <c r="F15" s="84"/>
    </row>
    <row r="16" spans="1:6" ht="15.75" customHeight="1">
      <c r="A16" s="95" t="s">
        <v>186</v>
      </c>
      <c r="B16" s="84"/>
      <c r="C16" s="84"/>
      <c r="D16" s="84"/>
      <c r="E16" s="84"/>
      <c r="F16" s="84"/>
    </row>
    <row r="17" spans="1:6" ht="15.75" customHeight="1">
      <c r="A17" s="95" t="s">
        <v>187</v>
      </c>
      <c r="B17" s="84"/>
      <c r="C17" s="84"/>
      <c r="D17" s="84"/>
      <c r="E17" s="8"/>
      <c r="F17" s="8"/>
    </row>
    <row r="18" spans="1:6" ht="15.75" customHeight="1">
      <c r="A18" s="8"/>
      <c r="B18" s="8"/>
      <c r="C18" s="8"/>
      <c r="D18" s="8"/>
      <c r="E18" s="8"/>
      <c r="F18" s="8"/>
    </row>
    <row r="19" spans="1:6" ht="15.75" customHeight="1">
      <c r="A19" s="12" t="s">
        <v>27</v>
      </c>
      <c r="B19" s="8"/>
      <c r="C19" s="8"/>
      <c r="D19" s="8"/>
      <c r="E19" s="8"/>
      <c r="F19" s="8"/>
    </row>
    <row r="20" spans="1:6" ht="15.75" customHeight="1">
      <c r="A20" s="13" t="s">
        <v>29</v>
      </c>
      <c r="B20" s="13" t="s">
        <v>30</v>
      </c>
      <c r="C20" s="13" t="s">
        <v>63</v>
      </c>
      <c r="D20" s="13" t="s">
        <v>64</v>
      </c>
      <c r="E20" s="13" t="s">
        <v>65</v>
      </c>
      <c r="F20" s="13" t="s">
        <v>67</v>
      </c>
    </row>
    <row r="21" spans="1:6" ht="15.75" customHeight="1">
      <c r="A21" s="18" t="s">
        <v>95</v>
      </c>
      <c r="B21" s="31">
        <v>42682</v>
      </c>
      <c r="C21" s="18" t="s">
        <v>69</v>
      </c>
      <c r="D21" s="18" t="s">
        <v>70</v>
      </c>
      <c r="E21" s="18" t="s">
        <v>71</v>
      </c>
      <c r="F21" s="18">
        <v>261.95999999999998</v>
      </c>
    </row>
    <row r="22" spans="1:6" ht="15.75" customHeight="1">
      <c r="A22" s="18" t="s">
        <v>95</v>
      </c>
      <c r="B22" s="31">
        <v>42682</v>
      </c>
      <c r="C22" s="18" t="s">
        <v>73</v>
      </c>
      <c r="D22" s="18" t="s">
        <v>70</v>
      </c>
      <c r="E22" s="18" t="s">
        <v>74</v>
      </c>
      <c r="F22" s="18">
        <v>731.94</v>
      </c>
    </row>
    <row r="23" spans="1:6" ht="15.75" customHeight="1">
      <c r="A23" s="18" t="s">
        <v>96</v>
      </c>
      <c r="B23" s="31">
        <v>42533</v>
      </c>
      <c r="C23" s="18" t="s">
        <v>76</v>
      </c>
      <c r="D23" s="18" t="s">
        <v>77</v>
      </c>
      <c r="E23" s="18" t="s">
        <v>78</v>
      </c>
      <c r="F23" s="18">
        <v>14.62</v>
      </c>
    </row>
    <row r="24" spans="1:6" ht="15.75" customHeight="1">
      <c r="A24" s="18" t="s">
        <v>97</v>
      </c>
      <c r="B24" s="32">
        <v>42288</v>
      </c>
      <c r="C24" s="18" t="s">
        <v>80</v>
      </c>
      <c r="D24" s="18" t="s">
        <v>70</v>
      </c>
      <c r="E24" s="18" t="s">
        <v>81</v>
      </c>
      <c r="F24" s="18">
        <v>957.57799999999997</v>
      </c>
    </row>
    <row r="25" spans="1:6" ht="15.75" customHeight="1">
      <c r="A25" s="18" t="s">
        <v>97</v>
      </c>
      <c r="B25" s="32">
        <v>42288</v>
      </c>
      <c r="C25" s="18" t="s">
        <v>83</v>
      </c>
      <c r="D25" s="18" t="s">
        <v>77</v>
      </c>
      <c r="E25" s="18" t="s">
        <v>84</v>
      </c>
      <c r="F25" s="18">
        <v>22.367999999999999</v>
      </c>
    </row>
    <row r="26" spans="1:6" ht="15.75" customHeight="1">
      <c r="A26" s="18" t="s">
        <v>98</v>
      </c>
      <c r="B26" s="31">
        <v>41799</v>
      </c>
      <c r="C26" s="18" t="s">
        <v>99</v>
      </c>
      <c r="D26" s="18" t="s">
        <v>70</v>
      </c>
      <c r="E26" s="18" t="s">
        <v>100</v>
      </c>
      <c r="F26" s="18">
        <v>48.86</v>
      </c>
    </row>
    <row r="27" spans="1:6" ht="15.75" customHeight="1">
      <c r="A27" s="18" t="s">
        <v>98</v>
      </c>
      <c r="B27" s="31">
        <v>41799</v>
      </c>
      <c r="C27" s="18" t="s">
        <v>101</v>
      </c>
      <c r="D27" s="18" t="s">
        <v>77</v>
      </c>
      <c r="E27" s="18" t="s">
        <v>102</v>
      </c>
      <c r="F27" s="18">
        <v>7.28</v>
      </c>
    </row>
    <row r="28" spans="1:6" ht="15">
      <c r="A28" s="18" t="s">
        <v>98</v>
      </c>
      <c r="B28" s="31">
        <v>41799</v>
      </c>
      <c r="C28" s="18" t="s">
        <v>103</v>
      </c>
      <c r="D28" s="18" t="s">
        <v>104</v>
      </c>
      <c r="E28" s="18" t="s">
        <v>105</v>
      </c>
      <c r="F28" s="18">
        <v>907.15200000000004</v>
      </c>
    </row>
    <row r="29" spans="1:6" ht="15">
      <c r="A29" s="18" t="s">
        <v>98</v>
      </c>
      <c r="B29" s="31">
        <v>41799</v>
      </c>
      <c r="C29" s="18" t="s">
        <v>106</v>
      </c>
      <c r="D29" s="18" t="s">
        <v>77</v>
      </c>
      <c r="E29" s="18" t="s">
        <v>107</v>
      </c>
      <c r="F29" s="18">
        <v>18.504000000000001</v>
      </c>
    </row>
    <row r="30" spans="1:6" ht="15">
      <c r="A30" s="8"/>
      <c r="B30" s="8"/>
      <c r="C30" s="8"/>
      <c r="D30" s="8"/>
      <c r="E30" s="8"/>
      <c r="F30" s="8"/>
    </row>
    <row r="31" spans="1:6" ht="15">
      <c r="A31" s="8"/>
      <c r="B31" s="8"/>
      <c r="C31" s="8"/>
      <c r="D31" s="8"/>
      <c r="E31" s="8"/>
      <c r="F31" s="8"/>
    </row>
    <row r="32" spans="1:6" ht="15">
      <c r="A32" s="82" t="s">
        <v>188</v>
      </c>
      <c r="B32" s="84"/>
      <c r="C32" s="84"/>
      <c r="D32" s="84"/>
      <c r="E32" s="84"/>
      <c r="F32" s="8"/>
    </row>
    <row r="33" spans="1:7" ht="15">
      <c r="A33" s="33">
        <f>AVERAGE(F21:F29)</f>
        <v>330.02911111111109</v>
      </c>
      <c r="B33" s="35"/>
      <c r="C33" s="8"/>
      <c r="D33" s="8"/>
      <c r="E33" s="8"/>
      <c r="F33" s="8"/>
    </row>
    <row r="35" spans="1:7" ht="18.75">
      <c r="A35" s="99" t="s">
        <v>189</v>
      </c>
      <c r="B35" s="84"/>
      <c r="C35" s="48"/>
      <c r="D35" s="48"/>
      <c r="E35" s="48"/>
      <c r="F35" s="48"/>
      <c r="G35" s="48"/>
    </row>
    <row r="36" spans="1:7" ht="18.75">
      <c r="A36" s="48"/>
      <c r="B36" s="48"/>
      <c r="C36" s="48"/>
      <c r="D36" s="48"/>
      <c r="E36" s="48"/>
      <c r="F36" s="48"/>
      <c r="G36" s="48"/>
    </row>
    <row r="37" spans="1:7" ht="18.75">
      <c r="A37" s="100" t="s">
        <v>190</v>
      </c>
      <c r="B37" s="84"/>
      <c r="C37" s="84"/>
      <c r="D37" s="84"/>
      <c r="E37" s="84"/>
      <c r="F37" s="84"/>
      <c r="G37" s="48"/>
    </row>
    <row r="38" spans="1:7" ht="18.75">
      <c r="A38" s="101" t="s">
        <v>191</v>
      </c>
      <c r="B38" s="84"/>
      <c r="C38" s="84"/>
      <c r="D38" s="84"/>
      <c r="E38" s="84"/>
      <c r="F38" s="84"/>
      <c r="G38" s="84"/>
    </row>
    <row r="39" spans="1:7" ht="18.75">
      <c r="A39" s="48"/>
      <c r="B39" s="48"/>
      <c r="C39" s="48"/>
      <c r="D39" s="48"/>
      <c r="E39" s="48"/>
      <c r="F39" s="48"/>
      <c r="G39" s="48"/>
    </row>
    <row r="40" spans="1:7" ht="18.75">
      <c r="A40" s="48"/>
      <c r="B40" s="48"/>
      <c r="C40" s="48"/>
      <c r="D40" s="48"/>
      <c r="E40" s="48"/>
      <c r="F40" s="48"/>
      <c r="G40" s="48"/>
    </row>
    <row r="41" spans="1:7" ht="18.75">
      <c r="A41" s="49" t="s">
        <v>55</v>
      </c>
      <c r="B41" s="48"/>
      <c r="C41" s="48"/>
      <c r="D41" s="48"/>
      <c r="E41" s="48"/>
      <c r="F41" s="48"/>
      <c r="G41" s="48"/>
    </row>
    <row r="42" spans="1:7" ht="18.75">
      <c r="A42" s="102" t="s">
        <v>192</v>
      </c>
      <c r="B42" s="84"/>
      <c r="C42" s="84"/>
      <c r="D42" s="48"/>
      <c r="E42" s="48"/>
      <c r="F42" s="48"/>
      <c r="G42" s="48"/>
    </row>
    <row r="43" spans="1:7" ht="18.75">
      <c r="A43" s="48"/>
      <c r="B43" s="48"/>
      <c r="C43" s="48"/>
      <c r="D43" s="48"/>
      <c r="E43" s="48"/>
      <c r="F43" s="48"/>
      <c r="G43" s="48"/>
    </row>
    <row r="44" spans="1:7" ht="18.75">
      <c r="A44" s="103" t="s">
        <v>193</v>
      </c>
      <c r="B44" s="84"/>
      <c r="C44" s="84"/>
      <c r="D44" s="84"/>
      <c r="E44" s="84"/>
      <c r="F44" s="48"/>
      <c r="G44" s="48"/>
    </row>
    <row r="45" spans="1:7" ht="18.75">
      <c r="A45" s="103" t="s">
        <v>194</v>
      </c>
      <c r="B45" s="84"/>
      <c r="C45" s="84"/>
      <c r="D45" s="84"/>
      <c r="E45" s="48"/>
      <c r="F45" s="48"/>
      <c r="G45" s="48"/>
    </row>
    <row r="46" spans="1:7" ht="18.75">
      <c r="A46" s="103" t="s">
        <v>195</v>
      </c>
      <c r="B46" s="84"/>
      <c r="C46" s="84"/>
      <c r="D46" s="84"/>
      <c r="E46" s="84"/>
      <c r="F46" s="48"/>
      <c r="G46" s="48"/>
    </row>
    <row r="47" spans="1:7" ht="18.75">
      <c r="A47" s="48"/>
      <c r="B47" s="48"/>
      <c r="C47" s="48"/>
      <c r="D47" s="48"/>
      <c r="E47" s="48"/>
      <c r="F47" s="48"/>
      <c r="G47" s="48"/>
    </row>
    <row r="48" spans="1:7" ht="18.75">
      <c r="A48" s="48"/>
      <c r="B48" s="48"/>
      <c r="C48" s="48"/>
      <c r="D48" s="48"/>
      <c r="E48" s="48"/>
      <c r="F48" s="48"/>
      <c r="G48" s="48"/>
    </row>
    <row r="49" spans="1:7" ht="18.75">
      <c r="A49" s="50" t="s">
        <v>59</v>
      </c>
      <c r="B49" s="48"/>
      <c r="C49" s="48"/>
      <c r="D49" s="48"/>
      <c r="E49" s="48"/>
      <c r="F49" s="48"/>
      <c r="G49" s="48"/>
    </row>
    <row r="50" spans="1:7" ht="18.75">
      <c r="A50" s="98" t="s">
        <v>196</v>
      </c>
      <c r="B50" s="84"/>
      <c r="C50" s="84"/>
      <c r="D50" s="84"/>
      <c r="E50" s="48"/>
      <c r="F50" s="48"/>
      <c r="G50" s="48"/>
    </row>
    <row r="51" spans="1:7" ht="18.75">
      <c r="A51" s="98" t="s">
        <v>197</v>
      </c>
      <c r="B51" s="84"/>
      <c r="C51" s="84"/>
      <c r="D51" s="84"/>
      <c r="E51" s="84"/>
      <c r="F51" s="48"/>
      <c r="G51" s="48"/>
    </row>
    <row r="52" spans="1:7" ht="18.75">
      <c r="A52" s="104" t="s">
        <v>198</v>
      </c>
      <c r="B52" s="84"/>
      <c r="C52" s="84"/>
      <c r="D52" s="84"/>
      <c r="E52" s="48"/>
      <c r="F52" s="48"/>
      <c r="G52" s="48"/>
    </row>
    <row r="53" spans="1:7" ht="18.75">
      <c r="A53" s="105" t="s">
        <v>199</v>
      </c>
      <c r="B53" s="84"/>
      <c r="C53" s="84"/>
      <c r="D53" s="84"/>
      <c r="E53" s="48"/>
      <c r="F53" s="48"/>
      <c r="G53" s="48"/>
    </row>
    <row r="54" spans="1:7" ht="18.75">
      <c r="A54" s="48"/>
      <c r="B54" s="48"/>
      <c r="C54" s="48"/>
      <c r="D54" s="48"/>
      <c r="E54" s="48"/>
      <c r="F54" s="48"/>
      <c r="G54" s="48"/>
    </row>
    <row r="55" spans="1:7" ht="18.75">
      <c r="A55" s="48"/>
      <c r="B55" s="48"/>
      <c r="C55" s="48"/>
      <c r="D55" s="48"/>
      <c r="E55" s="48"/>
      <c r="F55" s="48"/>
      <c r="G55" s="48"/>
    </row>
    <row r="56" spans="1:7" ht="18.75">
      <c r="A56" s="51" t="s">
        <v>200</v>
      </c>
      <c r="B56" s="48"/>
      <c r="C56" s="48"/>
      <c r="D56" s="48"/>
      <c r="E56" s="48"/>
      <c r="F56" s="48"/>
      <c r="G56" s="48"/>
    </row>
    <row r="57" spans="1:7" ht="18.75">
      <c r="A57" s="52" t="s">
        <v>29</v>
      </c>
      <c r="B57" s="52" t="s">
        <v>30</v>
      </c>
      <c r="C57" s="52" t="s">
        <v>63</v>
      </c>
      <c r="D57" s="52" t="s">
        <v>64</v>
      </c>
      <c r="E57" s="52" t="s">
        <v>65</v>
      </c>
      <c r="F57" s="52" t="s">
        <v>201</v>
      </c>
      <c r="G57" s="52" t="s">
        <v>67</v>
      </c>
    </row>
    <row r="58" spans="1:7" ht="18.75">
      <c r="A58" s="53" t="s">
        <v>95</v>
      </c>
      <c r="B58" s="54">
        <v>42682</v>
      </c>
      <c r="C58" s="53" t="s">
        <v>69</v>
      </c>
      <c r="D58" s="53" t="s">
        <v>70</v>
      </c>
      <c r="E58" s="53" t="s">
        <v>71</v>
      </c>
      <c r="F58" s="53" t="s">
        <v>123</v>
      </c>
      <c r="G58" s="53">
        <v>261.95999999999998</v>
      </c>
    </row>
    <row r="59" spans="1:7" ht="18.75">
      <c r="A59" s="53" t="s">
        <v>95</v>
      </c>
      <c r="B59" s="54">
        <v>42682</v>
      </c>
      <c r="C59" s="53" t="s">
        <v>73</v>
      </c>
      <c r="D59" s="53" t="s">
        <v>70</v>
      </c>
      <c r="E59" s="53" t="s">
        <v>74</v>
      </c>
      <c r="F59" s="53" t="s">
        <v>123</v>
      </c>
      <c r="G59" s="53">
        <v>731.94</v>
      </c>
    </row>
    <row r="60" spans="1:7" ht="18.75">
      <c r="A60" s="53" t="s">
        <v>96</v>
      </c>
      <c r="B60" s="54">
        <v>42533</v>
      </c>
      <c r="C60" s="53" t="s">
        <v>76</v>
      </c>
      <c r="D60" s="53" t="s">
        <v>77</v>
      </c>
      <c r="E60" s="53" t="s">
        <v>78</v>
      </c>
      <c r="F60" s="48" t="s">
        <v>202</v>
      </c>
      <c r="G60" s="53">
        <v>14.62</v>
      </c>
    </row>
    <row r="61" spans="1:7" ht="18.75">
      <c r="A61" s="53" t="s">
        <v>97</v>
      </c>
      <c r="B61" s="55">
        <v>42288</v>
      </c>
      <c r="C61" s="53" t="s">
        <v>80</v>
      </c>
      <c r="D61" s="53" t="s">
        <v>70</v>
      </c>
      <c r="E61" s="53" t="s">
        <v>81</v>
      </c>
      <c r="F61" s="53" t="s">
        <v>125</v>
      </c>
      <c r="G61" s="53">
        <v>957.57749999999999</v>
      </c>
    </row>
    <row r="62" spans="1:7" ht="18.75">
      <c r="A62" s="53" t="s">
        <v>97</v>
      </c>
      <c r="B62" s="55">
        <v>42288</v>
      </c>
      <c r="C62" s="53" t="s">
        <v>83</v>
      </c>
      <c r="D62" s="53" t="s">
        <v>77</v>
      </c>
      <c r="E62" s="53" t="s">
        <v>84</v>
      </c>
      <c r="F62" s="53" t="s">
        <v>125</v>
      </c>
      <c r="G62" s="53">
        <v>22.367999999999999</v>
      </c>
    </row>
    <row r="63" spans="1:7" ht="18.75">
      <c r="A63" s="53" t="s">
        <v>98</v>
      </c>
      <c r="B63" s="54">
        <v>41799</v>
      </c>
      <c r="C63" s="53" t="s">
        <v>99</v>
      </c>
      <c r="D63" s="53" t="s">
        <v>70</v>
      </c>
      <c r="E63" s="53" t="s">
        <v>100</v>
      </c>
      <c r="F63" s="53" t="s">
        <v>124</v>
      </c>
      <c r="G63" s="53">
        <v>48.86</v>
      </c>
    </row>
    <row r="64" spans="1:7" ht="18.75">
      <c r="A64" s="53" t="s">
        <v>98</v>
      </c>
      <c r="B64" s="54">
        <v>41799</v>
      </c>
      <c r="C64" s="53" t="s">
        <v>101</v>
      </c>
      <c r="D64" s="53" t="s">
        <v>77</v>
      </c>
      <c r="E64" s="53" t="s">
        <v>102</v>
      </c>
      <c r="F64" s="48" t="s">
        <v>202</v>
      </c>
      <c r="G64" s="53">
        <v>7.28</v>
      </c>
    </row>
    <row r="65" spans="1:7" ht="18.75">
      <c r="A65" s="53" t="s">
        <v>98</v>
      </c>
      <c r="B65" s="54">
        <v>41799</v>
      </c>
      <c r="C65" s="53" t="s">
        <v>103</v>
      </c>
      <c r="D65" s="53" t="s">
        <v>104</v>
      </c>
      <c r="E65" s="53" t="s">
        <v>105</v>
      </c>
      <c r="F65" s="53" t="s">
        <v>124</v>
      </c>
      <c r="G65" s="53">
        <v>907.15200000000004</v>
      </c>
    </row>
    <row r="66" spans="1:7" ht="18.75">
      <c r="A66" s="53" t="s">
        <v>98</v>
      </c>
      <c r="B66" s="54">
        <v>41799</v>
      </c>
      <c r="C66" s="53" t="s">
        <v>106</v>
      </c>
      <c r="D66" s="53" t="s">
        <v>77</v>
      </c>
      <c r="E66" s="53" t="s">
        <v>107</v>
      </c>
      <c r="F66" s="53" t="s">
        <v>124</v>
      </c>
      <c r="G66" s="53">
        <v>18.504000000000001</v>
      </c>
    </row>
    <row r="67" spans="1:7" ht="18.75">
      <c r="A67" s="48"/>
      <c r="B67" s="48"/>
      <c r="C67" s="48"/>
      <c r="D67" s="48"/>
      <c r="E67" s="48"/>
      <c r="F67" s="48"/>
      <c r="G67" s="48"/>
    </row>
    <row r="68" spans="1:7" ht="18.75">
      <c r="A68" s="106" t="s">
        <v>203</v>
      </c>
      <c r="B68" s="84"/>
      <c r="C68" s="84"/>
      <c r="D68" s="84"/>
      <c r="E68" s="84"/>
      <c r="F68" s="48"/>
      <c r="G68" s="48"/>
    </row>
    <row r="69" spans="1:7" ht="18.75">
      <c r="A69" s="56">
        <v>324.83866669999998</v>
      </c>
      <c r="B69" s="48"/>
      <c r="C69" s="48"/>
      <c r="D69" s="48"/>
      <c r="E69" s="48"/>
      <c r="F69" s="48"/>
      <c r="G69" s="48"/>
    </row>
    <row r="70" spans="1:7" ht="18.75">
      <c r="A70" s="48"/>
      <c r="B70" s="48"/>
      <c r="C70" s="48"/>
      <c r="D70" s="48"/>
      <c r="E70" s="48"/>
      <c r="F70" s="48"/>
      <c r="G70" s="48"/>
    </row>
    <row r="71" spans="1:7" ht="18.75">
      <c r="A71" s="106" t="s">
        <v>204</v>
      </c>
      <c r="B71" s="84"/>
      <c r="C71" s="84"/>
      <c r="D71" s="84"/>
      <c r="E71" s="84"/>
      <c r="F71" s="48"/>
      <c r="G71" s="48"/>
    </row>
    <row r="72" spans="1:7" ht="18.75">
      <c r="A72" s="57"/>
      <c r="B72" s="52" t="s">
        <v>201</v>
      </c>
      <c r="C72" s="52" t="s">
        <v>67</v>
      </c>
      <c r="D72" s="48"/>
      <c r="E72" s="58"/>
      <c r="F72" s="48"/>
      <c r="G72" s="48"/>
    </row>
    <row r="73" spans="1:7" ht="18.75">
      <c r="A73" s="48"/>
      <c r="B73" s="59" t="s">
        <v>202</v>
      </c>
      <c r="C73" s="60">
        <f>AVERAGEIF(F58:F66,F64,G58:G66)</f>
        <v>10.95</v>
      </c>
      <c r="D73" s="61"/>
      <c r="E73" s="76">
        <f>AVERAGEIF(F58:F66,F60,G58:G66)</f>
        <v>10.95</v>
      </c>
      <c r="F73" s="48"/>
      <c r="G73" s="48"/>
    </row>
    <row r="74" spans="1:7" ht="18.75">
      <c r="A74" s="48"/>
      <c r="B74" s="59" t="s">
        <v>125</v>
      </c>
      <c r="C74" s="60">
        <f>AVERAGEA(G58:G66,F58:F66,F61)</f>
        <v>156.32955263157893</v>
      </c>
      <c r="D74" s="61"/>
      <c r="E74" s="48">
        <f>AVERAGEIF(F58:F66,F61,G58:G66)</f>
        <v>489.97275000000002</v>
      </c>
      <c r="F74" s="48"/>
      <c r="G74" s="48"/>
    </row>
    <row r="75" spans="1:7" ht="18.75">
      <c r="A75" s="48"/>
      <c r="B75" s="59" t="s">
        <v>123</v>
      </c>
      <c r="C75" s="60">
        <f ca="1">AVERAGEIF(F58:F68,F66,G58:G66)</f>
        <v>324.83866666666671</v>
      </c>
      <c r="D75" s="61"/>
      <c r="E75" s="48">
        <f>AVERAGEIF(F58:F66,F59,G58:G66)</f>
        <v>496.95000000000005</v>
      </c>
      <c r="F75" s="48"/>
      <c r="G75" s="48"/>
    </row>
    <row r="77" spans="1:7" ht="15">
      <c r="A77" s="7" t="s">
        <v>205</v>
      </c>
      <c r="B77" s="8"/>
      <c r="C77" s="8"/>
      <c r="D77" s="8"/>
      <c r="E77" s="8"/>
      <c r="F77" s="8"/>
      <c r="G77" s="8"/>
    </row>
    <row r="78" spans="1:7" ht="15">
      <c r="A78" s="8"/>
      <c r="B78" s="8"/>
      <c r="C78" s="8"/>
      <c r="D78" s="8"/>
      <c r="E78" s="8"/>
      <c r="F78" s="8"/>
      <c r="G78" s="8"/>
    </row>
    <row r="79" spans="1:7" ht="15">
      <c r="A79" s="85" t="s">
        <v>206</v>
      </c>
      <c r="B79" s="84"/>
      <c r="C79" s="84"/>
      <c r="D79" s="84"/>
      <c r="E79" s="84"/>
      <c r="F79" s="84"/>
      <c r="G79" s="84"/>
    </row>
    <row r="80" spans="1:7" ht="15">
      <c r="A80" s="78" t="s">
        <v>207</v>
      </c>
      <c r="B80" s="84"/>
      <c r="C80" s="84"/>
      <c r="D80" s="84"/>
      <c r="E80" s="84"/>
      <c r="F80" s="84"/>
      <c r="G80" s="84"/>
    </row>
    <row r="81" spans="1:7" ht="15">
      <c r="A81" s="8"/>
      <c r="B81" s="8"/>
      <c r="C81" s="8"/>
      <c r="D81" s="8"/>
      <c r="E81" s="8"/>
      <c r="F81" s="8"/>
      <c r="G81" s="8"/>
    </row>
    <row r="82" spans="1:7" ht="15">
      <c r="A82" s="8"/>
      <c r="B82" s="8"/>
      <c r="C82" s="8"/>
      <c r="D82" s="8"/>
      <c r="E82" s="8"/>
      <c r="F82" s="8"/>
      <c r="G82" s="8"/>
    </row>
    <row r="83" spans="1:7" ht="15">
      <c r="A83" s="10" t="s">
        <v>55</v>
      </c>
      <c r="B83" s="8"/>
      <c r="C83" s="8"/>
      <c r="D83" s="8"/>
      <c r="E83" s="8"/>
      <c r="F83" s="8"/>
      <c r="G83" s="8"/>
    </row>
    <row r="84" spans="1:7" ht="15">
      <c r="A84" s="79" t="s">
        <v>208</v>
      </c>
      <c r="B84" s="84"/>
      <c r="C84" s="84"/>
      <c r="D84" s="84"/>
      <c r="E84" s="8"/>
      <c r="F84" s="8"/>
      <c r="G84" s="8"/>
    </row>
    <row r="85" spans="1:7" ht="15">
      <c r="A85" s="8"/>
      <c r="B85" s="8"/>
      <c r="C85" s="8"/>
      <c r="D85" s="8"/>
      <c r="E85" s="8"/>
      <c r="F85" s="8"/>
      <c r="G85" s="8"/>
    </row>
    <row r="86" spans="1:7" ht="15">
      <c r="A86" s="96" t="s">
        <v>209</v>
      </c>
      <c r="B86" s="84"/>
      <c r="C86" s="84"/>
      <c r="D86" s="8"/>
      <c r="E86" s="8"/>
      <c r="F86" s="8"/>
      <c r="G86" s="8"/>
    </row>
    <row r="87" spans="1:7" ht="15">
      <c r="A87" s="96" t="s">
        <v>210</v>
      </c>
      <c r="B87" s="84"/>
      <c r="C87" s="84"/>
      <c r="D87" s="8"/>
      <c r="E87" s="8"/>
      <c r="F87" s="8"/>
      <c r="G87" s="8"/>
    </row>
    <row r="88" spans="1:7" ht="15">
      <c r="A88" s="96" t="s">
        <v>116</v>
      </c>
      <c r="B88" s="84"/>
      <c r="C88" s="84"/>
      <c r="D88" s="8"/>
      <c r="E88" s="8"/>
      <c r="F88" s="8"/>
      <c r="G88" s="8"/>
    </row>
    <row r="89" spans="1:7" ht="15">
      <c r="A89" s="97" t="s">
        <v>211</v>
      </c>
      <c r="B89" s="84"/>
      <c r="C89" s="84"/>
      <c r="D89" s="84"/>
      <c r="E89" s="8"/>
      <c r="F89" s="8"/>
      <c r="G89" s="8"/>
    </row>
    <row r="90" spans="1:7" ht="15">
      <c r="A90" s="97" t="s">
        <v>212</v>
      </c>
      <c r="B90" s="84"/>
      <c r="C90" s="84"/>
      <c r="D90" s="84"/>
      <c r="E90" s="8"/>
      <c r="F90" s="8"/>
      <c r="G90" s="8"/>
    </row>
    <row r="91" spans="1:7" ht="15">
      <c r="A91" s="8"/>
      <c r="B91" s="8"/>
      <c r="C91" s="8"/>
      <c r="D91" s="8"/>
      <c r="E91" s="8"/>
      <c r="F91" s="8"/>
      <c r="G91" s="8"/>
    </row>
    <row r="92" spans="1:7" ht="15">
      <c r="A92" s="8"/>
      <c r="B92" s="8"/>
      <c r="C92" s="8"/>
      <c r="D92" s="8"/>
      <c r="E92" s="8"/>
      <c r="F92" s="8"/>
      <c r="G92" s="8"/>
    </row>
    <row r="93" spans="1:7" ht="15">
      <c r="A93" s="30" t="s">
        <v>59</v>
      </c>
      <c r="B93" s="8"/>
      <c r="C93" s="8"/>
      <c r="D93" s="8"/>
      <c r="E93" s="8"/>
      <c r="F93" s="8"/>
      <c r="G93" s="8"/>
    </row>
    <row r="94" spans="1:7" ht="15">
      <c r="A94" s="83" t="s">
        <v>213</v>
      </c>
      <c r="B94" s="84"/>
      <c r="C94" s="84"/>
      <c r="D94" s="84"/>
      <c r="E94" s="84"/>
      <c r="F94" s="84"/>
      <c r="G94" s="84"/>
    </row>
    <row r="95" spans="1:7" ht="15">
      <c r="A95" s="83" t="s">
        <v>214</v>
      </c>
      <c r="B95" s="84"/>
      <c r="C95" s="84"/>
      <c r="D95" s="84"/>
      <c r="E95" s="84"/>
      <c r="F95" s="84"/>
      <c r="G95" s="84"/>
    </row>
    <row r="96" spans="1:7" ht="15">
      <c r="A96" s="83" t="s">
        <v>215</v>
      </c>
      <c r="B96" s="84"/>
      <c r="C96" s="84"/>
      <c r="D96" s="84"/>
      <c r="E96" s="84"/>
      <c r="F96" s="84"/>
      <c r="G96" s="84"/>
    </row>
    <row r="97" spans="1:7" ht="15">
      <c r="A97" s="8"/>
      <c r="B97" s="8"/>
      <c r="C97" s="8"/>
      <c r="D97" s="8"/>
      <c r="E97" s="8"/>
      <c r="F97" s="8"/>
      <c r="G97" s="8"/>
    </row>
    <row r="98" spans="1:7" ht="15">
      <c r="A98" s="8"/>
      <c r="B98" s="8"/>
      <c r="C98" s="8"/>
      <c r="D98" s="8"/>
      <c r="E98" s="8"/>
      <c r="F98" s="8"/>
      <c r="G98" s="8"/>
    </row>
    <row r="99" spans="1:7" ht="15">
      <c r="A99" s="37" t="s">
        <v>27</v>
      </c>
      <c r="B99" s="8"/>
      <c r="C99" s="8"/>
      <c r="D99" s="8"/>
      <c r="E99" s="8"/>
      <c r="F99" s="8"/>
      <c r="G99" s="8"/>
    </row>
    <row r="100" spans="1:7" ht="15">
      <c r="A100" s="13" t="s">
        <v>29</v>
      </c>
      <c r="B100" s="13" t="s">
        <v>30</v>
      </c>
      <c r="C100" s="13" t="s">
        <v>63</v>
      </c>
      <c r="D100" s="13" t="s">
        <v>64</v>
      </c>
      <c r="E100" s="13" t="s">
        <v>65</v>
      </c>
      <c r="F100" s="13" t="s">
        <v>201</v>
      </c>
      <c r="G100" s="13" t="s">
        <v>67</v>
      </c>
    </row>
    <row r="101" spans="1:7" ht="15">
      <c r="A101" s="18" t="s">
        <v>95</v>
      </c>
      <c r="B101" s="31">
        <v>42682</v>
      </c>
      <c r="C101" s="18" t="s">
        <v>69</v>
      </c>
      <c r="D101" s="18" t="s">
        <v>70</v>
      </c>
      <c r="E101" s="18" t="s">
        <v>71</v>
      </c>
      <c r="F101" s="18" t="s">
        <v>123</v>
      </c>
      <c r="G101" s="18">
        <v>261.95999999999998</v>
      </c>
    </row>
    <row r="102" spans="1:7" ht="15">
      <c r="A102" s="18" t="s">
        <v>95</v>
      </c>
      <c r="B102" s="31">
        <v>42682</v>
      </c>
      <c r="C102" s="18" t="s">
        <v>73</v>
      </c>
      <c r="D102" s="18" t="s">
        <v>70</v>
      </c>
      <c r="E102" s="18" t="s">
        <v>74</v>
      </c>
      <c r="F102" s="18" t="s">
        <v>123</v>
      </c>
      <c r="G102" s="18">
        <v>731.94</v>
      </c>
    </row>
    <row r="103" spans="1:7" ht="15">
      <c r="A103" s="18" t="s">
        <v>96</v>
      </c>
      <c r="B103" s="31">
        <v>42533</v>
      </c>
      <c r="C103" s="18" t="s">
        <v>76</v>
      </c>
      <c r="D103" s="18" t="s">
        <v>77</v>
      </c>
      <c r="E103" s="18" t="s">
        <v>78</v>
      </c>
      <c r="F103" s="18" t="s">
        <v>124</v>
      </c>
      <c r="G103" s="18">
        <v>14.62</v>
      </c>
    </row>
    <row r="104" spans="1:7" ht="15">
      <c r="A104" s="18" t="s">
        <v>97</v>
      </c>
      <c r="B104" s="32">
        <v>42288</v>
      </c>
      <c r="C104" s="18" t="s">
        <v>80</v>
      </c>
      <c r="D104" s="18" t="s">
        <v>70</v>
      </c>
      <c r="E104" s="18" t="s">
        <v>81</v>
      </c>
      <c r="F104" s="18" t="s">
        <v>125</v>
      </c>
      <c r="G104" s="18">
        <v>957.57749999999999</v>
      </c>
    </row>
    <row r="105" spans="1:7" ht="15">
      <c r="A105" s="18" t="s">
        <v>97</v>
      </c>
      <c r="B105" s="32">
        <v>42288</v>
      </c>
      <c r="C105" s="18" t="s">
        <v>83</v>
      </c>
      <c r="D105" s="18" t="s">
        <v>77</v>
      </c>
      <c r="E105" s="18" t="s">
        <v>84</v>
      </c>
      <c r="F105" s="18" t="s">
        <v>125</v>
      </c>
      <c r="G105" s="18">
        <v>22.367999999999999</v>
      </c>
    </row>
    <row r="106" spans="1:7" ht="15">
      <c r="A106" s="18" t="s">
        <v>98</v>
      </c>
      <c r="B106" s="31">
        <v>41799</v>
      </c>
      <c r="C106" s="18" t="s">
        <v>99</v>
      </c>
      <c r="D106" s="18" t="s">
        <v>70</v>
      </c>
      <c r="E106" s="18" t="s">
        <v>100</v>
      </c>
      <c r="F106" s="18" t="s">
        <v>124</v>
      </c>
      <c r="G106" s="18">
        <v>48.86</v>
      </c>
    </row>
    <row r="107" spans="1:7" ht="15">
      <c r="A107" s="18" t="s">
        <v>98</v>
      </c>
      <c r="B107" s="31">
        <v>41799</v>
      </c>
      <c r="C107" s="18" t="s">
        <v>101</v>
      </c>
      <c r="D107" s="18" t="s">
        <v>77</v>
      </c>
      <c r="E107" s="18" t="s">
        <v>102</v>
      </c>
      <c r="F107" s="18" t="s">
        <v>124</v>
      </c>
      <c r="G107" s="18">
        <v>7.28</v>
      </c>
    </row>
    <row r="108" spans="1:7" ht="15">
      <c r="A108" s="18" t="s">
        <v>98</v>
      </c>
      <c r="B108" s="31">
        <v>41799</v>
      </c>
      <c r="C108" s="18" t="s">
        <v>103</v>
      </c>
      <c r="D108" s="18" t="s">
        <v>104</v>
      </c>
      <c r="E108" s="18" t="s">
        <v>105</v>
      </c>
      <c r="F108" s="18" t="s">
        <v>124</v>
      </c>
      <c r="G108" s="18">
        <v>907.15200000000004</v>
      </c>
    </row>
    <row r="109" spans="1:7" ht="15">
      <c r="A109" s="18" t="s">
        <v>98</v>
      </c>
      <c r="B109" s="31">
        <v>41799</v>
      </c>
      <c r="C109" s="18" t="s">
        <v>106</v>
      </c>
      <c r="D109" s="18" t="s">
        <v>77</v>
      </c>
      <c r="E109" s="18" t="s">
        <v>107</v>
      </c>
      <c r="F109" s="18" t="s">
        <v>124</v>
      </c>
      <c r="G109" s="18">
        <v>18.504000000000001</v>
      </c>
    </row>
    <row r="110" spans="1:7" ht="15">
      <c r="A110" s="8"/>
      <c r="B110" s="8"/>
      <c r="C110" s="8"/>
      <c r="D110" s="8"/>
      <c r="E110" s="8"/>
      <c r="F110" s="8"/>
      <c r="G110" s="8"/>
    </row>
    <row r="111" spans="1:7" ht="15">
      <c r="A111" s="82" t="s">
        <v>216</v>
      </c>
      <c r="B111" s="84"/>
      <c r="C111" s="84"/>
      <c r="D111" s="84"/>
      <c r="E111" s="84"/>
      <c r="F111" s="8"/>
      <c r="G111" s="8"/>
    </row>
    <row r="112" spans="1:7" ht="15">
      <c r="A112" s="33">
        <f>AVERAGEIFS(G101:G109,D101:D109,D107,F101:F109,F106)</f>
        <v>13.467999999999998</v>
      </c>
      <c r="B112" s="35"/>
      <c r="C112" s="8"/>
      <c r="D112" s="8"/>
      <c r="E112" s="8"/>
      <c r="F112" s="8"/>
      <c r="G112" s="8"/>
    </row>
    <row r="113" spans="1:7" ht="15">
      <c r="A113" s="8"/>
      <c r="B113" s="8"/>
      <c r="C113" s="8"/>
      <c r="D113" s="8"/>
      <c r="E113" s="8"/>
      <c r="F113" s="8"/>
      <c r="G113" s="8"/>
    </row>
    <row r="114" spans="1:7" ht="15">
      <c r="A114" s="82" t="s">
        <v>217</v>
      </c>
      <c r="B114" s="84"/>
      <c r="C114" s="84"/>
      <c r="D114" s="84"/>
      <c r="E114" s="84"/>
      <c r="F114" s="8"/>
      <c r="G114" s="8"/>
    </row>
    <row r="115" spans="1:7" ht="15">
      <c r="A115" s="33">
        <f>AVERAGEIFS(G101:G109,D101:D109,D101,F101:F109,F106)</f>
        <v>48.86</v>
      </c>
      <c r="B115" s="8"/>
      <c r="C115" s="8"/>
      <c r="D115" s="8"/>
      <c r="E115" s="8"/>
      <c r="F115" s="8"/>
      <c r="G115" s="8"/>
    </row>
  </sheetData>
  <mergeCells count="35">
    <mergeCell ref="A94:G94"/>
    <mergeCell ref="A95:G95"/>
    <mergeCell ref="A96:G96"/>
    <mergeCell ref="A111:E111"/>
    <mergeCell ref="A114:E114"/>
    <mergeCell ref="A90:D90"/>
    <mergeCell ref="A52:D52"/>
    <mergeCell ref="A53:D53"/>
    <mergeCell ref="A68:E68"/>
    <mergeCell ref="A71:E71"/>
    <mergeCell ref="A79:G79"/>
    <mergeCell ref="A80:G80"/>
    <mergeCell ref="A84:D84"/>
    <mergeCell ref="A86:C86"/>
    <mergeCell ref="A87:C87"/>
    <mergeCell ref="A88:C88"/>
    <mergeCell ref="A89:D89"/>
    <mergeCell ref="A51:E51"/>
    <mergeCell ref="A16:F16"/>
    <mergeCell ref="A17:D17"/>
    <mergeCell ref="A32:E32"/>
    <mergeCell ref="A35:B35"/>
    <mergeCell ref="A37:F37"/>
    <mergeCell ref="A38:G38"/>
    <mergeCell ref="A42:C42"/>
    <mergeCell ref="A44:E44"/>
    <mergeCell ref="A45:D45"/>
    <mergeCell ref="A46:E46"/>
    <mergeCell ref="A50:D50"/>
    <mergeCell ref="A15:F15"/>
    <mergeCell ref="A3:F3"/>
    <mergeCell ref="A4:F4"/>
    <mergeCell ref="A8:C8"/>
    <mergeCell ref="A10:F10"/>
    <mergeCell ref="A11:F11"/>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outlinePr summaryBelow="0" summaryRight="0"/>
  </sheetPr>
  <dimension ref="A2:B34"/>
  <sheetViews>
    <sheetView tabSelected="1" topLeftCell="A2" workbookViewId="0">
      <selection activeCell="A2" sqref="A2:B2"/>
    </sheetView>
  </sheetViews>
  <sheetFormatPr defaultColWidth="12.7109375" defaultRowHeight="15.75" customHeight="1"/>
  <cols>
    <col min="1" max="1" width="17" style="8" customWidth="1"/>
    <col min="2" max="2" width="77.7109375" style="8" customWidth="1"/>
    <col min="3" max="16384" width="12.7109375" style="8"/>
  </cols>
  <sheetData>
    <row r="2" spans="1:2" ht="15.75" customHeight="1">
      <c r="A2" s="78" t="s">
        <v>218</v>
      </c>
      <c r="B2" s="78"/>
    </row>
    <row r="3" spans="1:2" ht="15.75" customHeight="1">
      <c r="A3" s="33">
        <f>SUMIFS('Sales Report'!O2:O25,'Sales Report'!N2:N25,'Sales Report'!N2,'Sales Report'!G2:G25,'Sales Report'!G2)</f>
        <v>6832.5770000000002</v>
      </c>
    </row>
    <row r="5" spans="1:2" ht="15.75" customHeight="1">
      <c r="A5" s="78" t="s">
        <v>219</v>
      </c>
      <c r="B5" s="78"/>
    </row>
    <row r="6" spans="1:2" ht="15.75" customHeight="1">
      <c r="A6" s="33">
        <f>AVERAGEIFS('Sales Report'!O2:O25,'Sales Report'!N2:N25,'Sales Report'!N25,'Sales Report'!G2:G25,'Sales Report'!G16)</f>
        <v>3219.4360000000001</v>
      </c>
    </row>
    <row r="8" spans="1:2" ht="15.75" customHeight="1">
      <c r="A8" s="78" t="s">
        <v>220</v>
      </c>
      <c r="B8" s="78"/>
    </row>
    <row r="9" spans="1:2" ht="15.75" customHeight="1">
      <c r="A9" s="33">
        <f>COUNTIF('Sales Report'!E2:E25,'Sales Report'!E2)</f>
        <v>21</v>
      </c>
    </row>
    <row r="11" spans="1:2" ht="15.75" customHeight="1">
      <c r="A11" s="78" t="s">
        <v>221</v>
      </c>
      <c r="B11" s="78"/>
    </row>
    <row r="12" spans="1:2" ht="15.75" customHeight="1">
      <c r="A12" s="33">
        <f>AVERAGEIFS('Sales Report'!O2:O25,'Sales Report'!M2:M25,'Sales Report'!M22,'Sales Report'!G2:G25,'Sales Report'!G9,'Sales Report'!I2:I25,'Sales Report'!I12)</f>
        <v>767.21400000000006</v>
      </c>
    </row>
    <row r="14" spans="1:2" ht="15.75" customHeight="1">
      <c r="A14" s="78" t="s">
        <v>222</v>
      </c>
      <c r="B14" s="78"/>
    </row>
    <row r="15" spans="1:2" ht="15.75" customHeight="1">
      <c r="A15" s="33">
        <f>COUNTIFS('Sales Report'!N2:N25,'Sales Report'!N13,'Sales Report'!G2:G25,'Sales Report'!G13)</f>
        <v>1</v>
      </c>
    </row>
    <row r="17" spans="1:2" ht="15.75" customHeight="1">
      <c r="A17" s="78" t="s">
        <v>223</v>
      </c>
      <c r="B17" s="78"/>
    </row>
    <row r="18" spans="1:2" ht="15.75" customHeight="1">
      <c r="A18" s="35">
        <v>2015</v>
      </c>
      <c r="B18" s="72">
        <f>COUNTIF('Sales Report'!T2:T25,'Sales Report'!T4)</f>
        <v>7</v>
      </c>
    </row>
    <row r="19" spans="1:2" ht="15.75" customHeight="1">
      <c r="A19" s="35">
        <v>2016</v>
      </c>
      <c r="B19" s="72">
        <f>COUNTIF('Sales Report'!T2:T25,'Sales Report'!T3)</f>
        <v>7</v>
      </c>
    </row>
    <row r="20" spans="1:2" ht="15.75" customHeight="1">
      <c r="A20" s="35">
        <v>2017</v>
      </c>
      <c r="B20" s="72">
        <f>COUNTIF('Sales Report'!T4:T27,'Sales Report'!T6)</f>
        <v>6</v>
      </c>
    </row>
    <row r="22" spans="1:2" ht="15.75" customHeight="1">
      <c r="A22" s="78" t="s">
        <v>224</v>
      </c>
      <c r="B22" s="78"/>
    </row>
    <row r="23" spans="1:2" ht="15.75" customHeight="1">
      <c r="A23" s="33">
        <f>COUNTIFS('Sales Report'!M2:M25,'Sales Report'!M3,'Sales Report'!G2:G25,'Sales Report'!G7,'Sales Report'!J2:J25,'Sales Report'!J6)</f>
        <v>2</v>
      </c>
    </row>
    <row r="25" spans="1:2" ht="15.75" customHeight="1">
      <c r="A25" s="78" t="s">
        <v>225</v>
      </c>
      <c r="B25" s="78"/>
    </row>
    <row r="26" spans="1:2" ht="15.75" customHeight="1">
      <c r="A26" s="43">
        <f>SUMIFS('Sales Report'!O2:O25,'Sales Report'!M2:M25,'Sales Report'!M17,'Sales Report'!G2:G25,'Sales Report'!G2,'Sales Report'!I2:I25,'Sales Report'!I6)</f>
        <v>1044.1199999999999</v>
      </c>
    </row>
    <row r="28" spans="1:2" ht="15">
      <c r="A28" s="78" t="s">
        <v>226</v>
      </c>
      <c r="B28" s="78"/>
    </row>
    <row r="29" spans="1:2" ht="15">
      <c r="A29" s="16" t="s">
        <v>227</v>
      </c>
      <c r="B29" s="73">
        <f>AVERAGEIFS('Sales Report'!O2:O25,'Sales Report'!M2:M25,'Sales Report'!M3,'Sales Report'!G2:G25,'Sales Report'!G2)</f>
        <v>945.40142857142848</v>
      </c>
    </row>
    <row r="30" spans="1:2" ht="15">
      <c r="A30" s="16" t="s">
        <v>228</v>
      </c>
      <c r="B30" s="73">
        <f>AVERAGEIFS('Sales Report'!O2:O25,'Sales Report'!M2:M25,'Sales Report'!M3,'Sales Report'!G2:G25,'Sales Report'!G3)</f>
        <v>3219.4360000000001</v>
      </c>
    </row>
    <row r="31" spans="1:2" ht="15">
      <c r="A31" s="18" t="s">
        <v>229</v>
      </c>
      <c r="B31" s="73">
        <f>AVERAGEIFS('Sales Report'!O2:O25,'Sales Report'!M2:M25,'Sales Report'!M3,'Sales Report'!G2:G25,'Sales Report'!G21)</f>
        <v>682.74</v>
      </c>
    </row>
    <row r="32" spans="1:2" ht="15">
      <c r="B32" s="74"/>
    </row>
    <row r="33" spans="1:2" ht="15">
      <c r="A33" s="78" t="s">
        <v>230</v>
      </c>
      <c r="B33" s="78"/>
    </row>
    <row r="34" spans="1:2" ht="15">
      <c r="A34" s="43">
        <f>SUMIFS('Sales Report'!O2:O25,'Sales Report'!M2:M25,'Sales Report'!M2,'Sales Report'!G2:G25,'Sales Report'!G2)</f>
        <v>7987.0370000000003</v>
      </c>
    </row>
  </sheetData>
  <mergeCells count="10">
    <mergeCell ref="A22:B22"/>
    <mergeCell ref="A25:B25"/>
    <mergeCell ref="A28:B28"/>
    <mergeCell ref="A33:B33"/>
    <mergeCell ref="A2:B2"/>
    <mergeCell ref="A5:B5"/>
    <mergeCell ref="A8:B8"/>
    <mergeCell ref="A11:B11"/>
    <mergeCell ref="A14:B14"/>
    <mergeCell ref="A17: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Report</vt:lpstr>
      <vt:lpstr>Data Validation</vt:lpstr>
      <vt:lpstr>Sum</vt:lpstr>
      <vt:lpstr>Count</vt:lpstr>
      <vt:lpstr>Average</vt:lpstr>
      <vt:lpstr>Practice Question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Rupali Saxena</dc:creator>
  <cp:lastModifiedBy>comp</cp:lastModifiedBy>
  <dcterms:created xsi:type="dcterms:W3CDTF">2025-09-15T16:18:05Z</dcterms:created>
  <dcterms:modified xsi:type="dcterms:W3CDTF">2025-11-11T14:57:24Z</dcterms:modified>
</cp:coreProperties>
</file>