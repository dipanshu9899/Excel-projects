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excel\"/>
    </mc:Choice>
  </mc:AlternateContent>
  <xr:revisionPtr revIDLastSave="0" documentId="13_ncr:1_{4A1FE2B9-8F69-4C34-8E8F-4D072CDA5F08}" xr6:coauthVersionLast="47" xr6:coauthVersionMax="47" xr10:uidLastSave="{00000000-0000-0000-0000-000000000000}"/>
  <bookViews>
    <workbookView xWindow="-110" yWindow="-110" windowWidth="19420" windowHeight="10420" activeTab="6" xr2:uid="{00000000-000D-0000-FFFF-FFFF00000000}"/>
  </bookViews>
  <sheets>
    <sheet name="Sales Report" sheetId="2" r:id="rId1"/>
    <sheet name="practice Questions" sheetId="3" r:id="rId2"/>
    <sheet name="Text to Column" sheetId="4" r:id="rId3"/>
    <sheet name="Date" sheetId="5" r:id="rId4"/>
    <sheet name="Time" sheetId="6" r:id="rId5"/>
    <sheet name="Text Functions" sheetId="7" r:id="rId6"/>
    <sheet name="Exercise" sheetId="8" r:id="rId7"/>
  </sheets>
  <externalReferences>
    <externalReference r:id="rId8"/>
    <externalReference r:id="rId9"/>
    <externalReference r:id="rId10"/>
    <externalReference r:id="rId11"/>
  </externalReferences>
  <definedNames>
    <definedName name="_xlnm._FilterDatabase" localSheetId="0" hidden="1">'Sales Report'!$A$1:$AF$26</definedName>
    <definedName name="Amt">'[1]Name Ranges'!$D$10:$D$29</definedName>
    <definedName name="Cat">'[1]Name Ranges'!$C$10:$C$29</definedName>
    <definedName name="item_list">'[1]Name Ranges'!$B$9:$D$29</definedName>
    <definedName name="List1">OFFSET('[1]Dynamic Name range'!$D$27,0,0,COUNTA('[1]Dynamic Name range'!$D$27:$D$101),1)</definedName>
    <definedName name="List2">'[1]Dynamic Name range'!$D$28:INDEX('[1]Dynamic Name range'!$D$28:$D$101,COUNTA('[1]Dynamic Name range'!$D:$D))</definedName>
    <definedName name="No._of_Trades" localSheetId="3">#REF!:INDEX(#REF!,COUNTA(#REF!))</definedName>
    <definedName name="No._of_Trades" localSheetId="6">#REF!:INDEX(#REF!,COUNTA(#REF!))</definedName>
    <definedName name="No._of_Trades" localSheetId="5">#REF!:INDEX(#REF!,COUNTA(#REF!))</definedName>
    <definedName name="No._of_Trades" localSheetId="2">#REF!:INDEX(#REF!,COUNTA(#REF!))</definedName>
    <definedName name="No._of_Trades" localSheetId="4">#REF!:INDEX(#REF!,COUNTA(#REF!))</definedName>
    <definedName name="No._of_Trades">#REF!:INDEX(#REF!,COUNTA(#REF!))</definedName>
    <definedName name="No.ofsharestraded" localSheetId="3">'[2]MATCH &amp; INDEX'!$H$5:$H$23</definedName>
    <definedName name="No.ofsharestraded" localSheetId="0">'[2]MATCH &amp; INDEX'!$H$5:$H$23</definedName>
    <definedName name="No.ofsharestraded" localSheetId="4">'[2]MATCH &amp; INDEX'!$H$5:$H$23</definedName>
    <definedName name="No.ofsharestraded">'[3]MATCH &amp; INDEX'!$H$5:$H$23</definedName>
    <definedName name="Salesquarter1" localSheetId="3">#REF!</definedName>
    <definedName name="Salesquarter1" localSheetId="6">#REF!</definedName>
    <definedName name="Salesquarter1" localSheetId="0">#REF!</definedName>
    <definedName name="Salesquarter1" localSheetId="5">#REF!</definedName>
    <definedName name="Salesquarter1" localSheetId="2">#REF!</definedName>
    <definedName name="Salesquarter1" localSheetId="4">#REF!</definedName>
    <definedName name="Salesquarter1">#REF!</definedName>
    <definedName name="Sharesheet">OFFSET([4]OFFSET!$A$22,,,COUNTA([4]OFFSET!$A:$A),COUNTA([4]OFFSET!$22:$22))</definedName>
    <definedName name="Traded_Contract__Lots">OFFSET('[1]Dynamic Name range'!$C$56,0,0,COUNTA('[1]Dynamic Name range'!$C$56:$C$100),1)</definedName>
    <definedName name="X">OFFSET([1]OFFSET!$D$23,0,0,COUNTA([1]OFFSET!$D$23:$D$99),1)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5" i="3" l="1"/>
  <c r="C96" i="8"/>
  <c r="C97" i="8"/>
  <c r="C98" i="8"/>
  <c r="C99" i="8"/>
  <c r="C100" i="8"/>
  <c r="C101" i="8"/>
  <c r="C102" i="8"/>
  <c r="C103" i="8"/>
  <c r="C95" i="8"/>
  <c r="B55" i="8"/>
  <c r="A52" i="8"/>
  <c r="C52" i="8" s="1"/>
  <c r="A53" i="8"/>
  <c r="C53" i="8" s="1"/>
  <c r="A54" i="8"/>
  <c r="C54" i="8" s="1"/>
  <c r="A55" i="8"/>
  <c r="C55" i="8" s="1"/>
  <c r="A56" i="8"/>
  <c r="C56" i="8" s="1"/>
  <c r="A57" i="8"/>
  <c r="C57" i="8" s="1"/>
  <c r="A58" i="8"/>
  <c r="C58" i="8" s="1"/>
  <c r="A59" i="8"/>
  <c r="C59" i="8" s="1"/>
  <c r="C105" i="7"/>
  <c r="C106" i="7"/>
  <c r="C107" i="7"/>
  <c r="C108" i="7"/>
  <c r="C104" i="7"/>
  <c r="B52" i="7"/>
  <c r="B53" i="7"/>
  <c r="B54" i="7"/>
  <c r="B51" i="7"/>
  <c r="B24" i="6"/>
  <c r="J22" i="5"/>
  <c r="G80" i="5"/>
  <c r="H80" i="5" s="1"/>
  <c r="B80" i="5"/>
  <c r="B59" i="5"/>
  <c r="B57" i="5"/>
  <c r="B55" i="5"/>
  <c r="C23" i="3"/>
  <c r="B23" i="3"/>
  <c r="N13" i="3"/>
  <c r="S5" i="3" s="1"/>
  <c r="B96" i="8"/>
  <c r="B97" i="8"/>
  <c r="B98" i="8"/>
  <c r="B99" i="8"/>
  <c r="B100" i="8"/>
  <c r="B101" i="8"/>
  <c r="B102" i="8"/>
  <c r="B103" i="8"/>
  <c r="B95" i="8"/>
  <c r="B50" i="7"/>
  <c r="A78" i="8"/>
  <c r="A79" i="8"/>
  <c r="A80" i="8"/>
  <c r="A77" i="8"/>
  <c r="B105" i="7"/>
  <c r="B106" i="7"/>
  <c r="B107" i="7"/>
  <c r="B108" i="7"/>
  <c r="B104" i="7"/>
  <c r="C51" i="7"/>
  <c r="C52" i="7"/>
  <c r="C53" i="7"/>
  <c r="C54" i="7"/>
  <c r="C50" i="7"/>
  <c r="C65" i="7"/>
  <c r="C66" i="7"/>
  <c r="C67" i="7"/>
  <c r="C68" i="7"/>
  <c r="C64" i="7"/>
  <c r="C37" i="7"/>
  <c r="C38" i="7"/>
  <c r="C39" i="7"/>
  <c r="C40" i="7"/>
  <c r="C36" i="7"/>
  <c r="C13" i="7"/>
  <c r="C14" i="7"/>
  <c r="C15" i="7"/>
  <c r="C16" i="7"/>
  <c r="C12" i="7"/>
  <c r="C25" i="7"/>
  <c r="C26" i="7"/>
  <c r="C27" i="7"/>
  <c r="C28" i="7"/>
  <c r="C24" i="7"/>
  <c r="D93" i="7"/>
  <c r="B92" i="7"/>
  <c r="B91" i="7"/>
  <c r="B90" i="7"/>
  <c r="B89" i="7"/>
  <c r="B88" i="7"/>
  <c r="C80" i="7"/>
  <c r="C79" i="7"/>
  <c r="C78" i="7"/>
  <c r="C77" i="7"/>
  <c r="C76" i="7"/>
  <c r="B68" i="7"/>
  <c r="B67" i="7"/>
  <c r="B66" i="7"/>
  <c r="B65" i="7"/>
  <c r="B64" i="7"/>
  <c r="B40" i="7"/>
  <c r="B39" i="7"/>
  <c r="B38" i="7"/>
  <c r="B37" i="7"/>
  <c r="B36" i="7"/>
  <c r="B28" i="7"/>
  <c r="B27" i="7"/>
  <c r="B26" i="7"/>
  <c r="B25" i="7"/>
  <c r="B24" i="7"/>
  <c r="B16" i="7"/>
  <c r="B15" i="7"/>
  <c r="B14" i="7"/>
  <c r="B13" i="7"/>
  <c r="B12" i="7"/>
  <c r="A8" i="5"/>
  <c r="AF25" i="2"/>
  <c r="AF24" i="2"/>
  <c r="AF23" i="2"/>
  <c r="AF22" i="2"/>
  <c r="AF21" i="2"/>
  <c r="AF20" i="2"/>
  <c r="AF19" i="2"/>
  <c r="AF18" i="2"/>
  <c r="AF17" i="2"/>
  <c r="AF16" i="2"/>
  <c r="AF15" i="2"/>
  <c r="AF14" i="2"/>
  <c r="AF13" i="2"/>
  <c r="AF12" i="2"/>
  <c r="AF11" i="2"/>
  <c r="AF10" i="2"/>
  <c r="AF9" i="2"/>
  <c r="AF8" i="2"/>
  <c r="AF7" i="2"/>
  <c r="AF6" i="2"/>
  <c r="AF5" i="2"/>
  <c r="AF4" i="2"/>
  <c r="AF3" i="2"/>
  <c r="AF2" i="2"/>
  <c r="B59" i="8" l="1"/>
  <c r="B58" i="8"/>
  <c r="B57" i="8"/>
  <c r="B56" i="8"/>
  <c r="B54" i="8"/>
  <c r="B53" i="8"/>
  <c r="B52" i="8"/>
  <c r="S2" i="3"/>
  <c r="S10" i="3"/>
  <c r="S6" i="3"/>
  <c r="S12" i="3"/>
  <c r="S8" i="3"/>
  <c r="S4" i="3"/>
  <c r="S3" i="3"/>
  <c r="S11" i="3"/>
  <c r="S9" i="3"/>
  <c r="S7" i="3"/>
</calcChain>
</file>

<file path=xl/sharedStrings.xml><?xml version="1.0" encoding="utf-8"?>
<sst xmlns="http://schemas.openxmlformats.org/spreadsheetml/2006/main" count="1132" uniqueCount="403">
  <si>
    <t>Row ID</t>
  </si>
  <si>
    <t>Order ID</t>
  </si>
  <si>
    <t>Order Date</t>
  </si>
  <si>
    <t>Ship Date</t>
  </si>
  <si>
    <t>Ship Mode</t>
  </si>
  <si>
    <t>Customer Name</t>
  </si>
  <si>
    <t>Segment</t>
  </si>
  <si>
    <t>Country</t>
  </si>
  <si>
    <t>City</t>
  </si>
  <si>
    <t>State</t>
  </si>
  <si>
    <t>Postal Code</t>
  </si>
  <si>
    <t>Product ID</t>
  </si>
  <si>
    <t>Category</t>
  </si>
  <si>
    <t>Sub-Category</t>
  </si>
  <si>
    <t>Sales</t>
  </si>
  <si>
    <t>Quantity</t>
  </si>
  <si>
    <t>Discount</t>
  </si>
  <si>
    <t>Profit</t>
  </si>
  <si>
    <t>Customer ID</t>
  </si>
  <si>
    <t>HA Q10</t>
  </si>
  <si>
    <t>CA-2016-154662</t>
  </si>
  <si>
    <t>Standard Class</t>
  </si>
  <si>
    <t>Benjamin Farhat</t>
  </si>
  <si>
    <t>Home Office</t>
  </si>
  <si>
    <t>United States</t>
  </si>
  <si>
    <t>Minneapolis</t>
  </si>
  <si>
    <t>Minnesota</t>
  </si>
  <si>
    <t>FUR-TA-10001771</t>
  </si>
  <si>
    <t>Furniture</t>
  </si>
  <si>
    <t>Tables</t>
  </si>
  <si>
    <t>BF-11215</t>
  </si>
  <si>
    <t>CA-2015-113215</t>
  </si>
  <si>
    <t>Cathy Prescott</t>
  </si>
  <si>
    <t>Corporate</t>
  </si>
  <si>
    <t>Tucson</t>
  </si>
  <si>
    <t>Arizona</t>
  </si>
  <si>
    <t>FUR-FU-10002937</t>
  </si>
  <si>
    <t>Furnishings</t>
  </si>
  <si>
    <t>CP-12085</t>
  </si>
  <si>
    <t>CA-2015-135580</t>
  </si>
  <si>
    <t>Clay Ludtke</t>
  </si>
  <si>
    <t>Consumer</t>
  </si>
  <si>
    <t>Los Angeles</t>
  </si>
  <si>
    <t>California</t>
  </si>
  <si>
    <t>TEC-MA-10004002</t>
  </si>
  <si>
    <t>Technology</t>
  </si>
  <si>
    <t>Machines</t>
  </si>
  <si>
    <t>CL-12565</t>
  </si>
  <si>
    <t>OFF-EN-10003296</t>
  </si>
  <si>
    <t>Office Supplies</t>
  </si>
  <si>
    <t>Envelopes</t>
  </si>
  <si>
    <t>US-2016-113677</t>
  </si>
  <si>
    <t>Corinna Mitchell</t>
  </si>
  <si>
    <t>New York City</t>
  </si>
  <si>
    <t>New York</t>
  </si>
  <si>
    <t>TEC-PH-10002114</t>
  </si>
  <si>
    <t>Phones</t>
  </si>
  <si>
    <t>CM-12655</t>
  </si>
  <si>
    <t>CA-2017-122364</t>
  </si>
  <si>
    <t>Frank Atkinson</t>
  </si>
  <si>
    <t>TEC-MA-10001031</t>
  </si>
  <si>
    <t>FA-14230</t>
  </si>
  <si>
    <t>TEC-PH-10001817</t>
  </si>
  <si>
    <t>CA-2016-161025</t>
  </si>
  <si>
    <t>Gary McGarr</t>
  </si>
  <si>
    <t>OFF-ST-10001932</t>
  </si>
  <si>
    <t>Storage</t>
  </si>
  <si>
    <t>GM-14440</t>
  </si>
  <si>
    <t>CA-2015-158421</t>
  </si>
  <si>
    <t>Giulietta Baptist</t>
  </si>
  <si>
    <t>Columbia</t>
  </si>
  <si>
    <t>South Carolina</t>
  </si>
  <si>
    <t>FUR-CH-10000309</t>
  </si>
  <si>
    <t>Chairs</t>
  </si>
  <si>
    <t>GB-14575</t>
  </si>
  <si>
    <t>TEC-PH-10000369</t>
  </si>
  <si>
    <t>CA-2017-121083</t>
  </si>
  <si>
    <t>Jamie Frazer</t>
  </si>
  <si>
    <t>Manchester</t>
  </si>
  <si>
    <t>Connecticut</t>
  </si>
  <si>
    <t>OFF-PA-10001497</t>
  </si>
  <si>
    <t>Paper</t>
  </si>
  <si>
    <t>JF-15190</t>
  </si>
  <si>
    <t>TEC-PH-10001336</t>
  </si>
  <si>
    <t>CA-2016-157259</t>
  </si>
  <si>
    <t>Jessica Myrick</t>
  </si>
  <si>
    <t>FUR-FU-10003192</t>
  </si>
  <si>
    <t>JM-15535</t>
  </si>
  <si>
    <t>CA-2016-159016</t>
  </si>
  <si>
    <t>First Class</t>
  </si>
  <si>
    <t>Karen Ferguson</t>
  </si>
  <si>
    <t>TEC-PH-10002885</t>
  </si>
  <si>
    <t>KF-16285</t>
  </si>
  <si>
    <t>US-2014-106299</t>
  </si>
  <si>
    <t>Nick Zandusky</t>
  </si>
  <si>
    <t>Springfield</t>
  </si>
  <si>
    <t>Missouri</t>
  </si>
  <si>
    <t>OFF-ST-10002011</t>
  </si>
  <si>
    <t>NZ-18565</t>
  </si>
  <si>
    <t>CA-2016-151561</t>
  </si>
  <si>
    <t>Patrick Gardner</t>
  </si>
  <si>
    <t>TEC-AC-10001432</t>
  </si>
  <si>
    <t>Accessories</t>
  </si>
  <si>
    <t>PG-18820</t>
  </si>
  <si>
    <t>CA-2015-111780</t>
  </si>
  <si>
    <t>Second Class</t>
  </si>
  <si>
    <t>Ralph Arnett</t>
  </si>
  <si>
    <t>San Diego</t>
  </si>
  <si>
    <t>TEC-CO-10004202</t>
  </si>
  <si>
    <t>Copiers</t>
  </si>
  <si>
    <t>RA-19285</t>
  </si>
  <si>
    <t>US-2016-106600</t>
  </si>
  <si>
    <t>Raymond Messe</t>
  </si>
  <si>
    <t>Columbus</t>
  </si>
  <si>
    <t>Georgia</t>
  </si>
  <si>
    <t>FUR-BO-10001608</t>
  </si>
  <si>
    <t>Bookcases</t>
  </si>
  <si>
    <t>RM-19375</t>
  </si>
  <si>
    <t>CA-2017-100111</t>
  </si>
  <si>
    <t>Seth Vernon</t>
  </si>
  <si>
    <t>FUR-CH-10004086</t>
  </si>
  <si>
    <t>SV-20365</t>
  </si>
  <si>
    <t>FUR-CH-10001215</t>
  </si>
  <si>
    <t>TEC-AC-10002647</t>
  </si>
  <si>
    <t>CA-2014-163447</t>
  </si>
  <si>
    <t>Thomas Brumley</t>
  </si>
  <si>
    <t>FUR-CH-10004477</t>
  </si>
  <si>
    <t>TB-21190</t>
  </si>
  <si>
    <t>CA-2015-153878</t>
  </si>
  <si>
    <t>Trudy Schmidt</t>
  </si>
  <si>
    <t>Milwaukee</t>
  </si>
  <si>
    <t>Wisconsin</t>
  </si>
  <si>
    <t>OFF-AP-10001205</t>
  </si>
  <si>
    <t>Appliances</t>
  </si>
  <si>
    <t>TS-21655</t>
  </si>
  <si>
    <t xml:space="preserve">%Sales </t>
  </si>
  <si>
    <t>Class room exercise</t>
  </si>
  <si>
    <t>1. Mark all the cells in green where quantity  is greater than 6</t>
  </si>
  <si>
    <t>2. Mark all the Customers in Consumer segment in Blue</t>
  </si>
  <si>
    <t xml:space="preserve">3. Calculate the percentage sales for each order </t>
  </si>
  <si>
    <t>4. Mark the cells in blue where all the sales are more than 10%</t>
  </si>
  <si>
    <t>5. Mark all the customers in Corporate segment in Yellow</t>
  </si>
  <si>
    <t>6. Sort the customers name in alphabetical order</t>
  </si>
  <si>
    <t>7. Freeze Column A and the row 1.</t>
  </si>
  <si>
    <t xml:space="preserve">8. Paste only values </t>
  </si>
  <si>
    <t>9. Paste Formulae and values</t>
  </si>
  <si>
    <r>
      <t>The </t>
    </r>
    <r>
      <rPr>
        <b/>
        <sz val="11"/>
        <color rgb="FF505050"/>
        <rFont val="Arial"/>
        <family val="2"/>
      </rPr>
      <t>Text to Columns</t>
    </r>
    <r>
      <rPr>
        <sz val="11"/>
        <color rgb="FF000000"/>
        <rFont val="Arial"/>
        <family val="2"/>
      </rPr>
      <t xml:space="preserve"> feature comes in really handy when you need to divide a single cell into two or more cells. </t>
    </r>
  </si>
  <si>
    <t>It allows splitting text strings by a specified delimiter such as comma, semicolon or space as well as separating substrings of a fixed length.</t>
  </si>
  <si>
    <t xml:space="preserve"> Let's see how each scenario works:</t>
  </si>
  <si>
    <t>How to separate cells in Excel by Delimitier</t>
  </si>
  <si>
    <t>In the given table Row ID, Order ID and Customer name are all given in the same column.</t>
  </si>
  <si>
    <t>Parma</t>
  </si>
  <si>
    <t>Ohio</t>
  </si>
  <si>
    <t>Miami</t>
  </si>
  <si>
    <t>Florida</t>
  </si>
  <si>
    <t>To separate data in one cell into several cell we need to perform the following steps:</t>
  </si>
  <si>
    <r>
      <t xml:space="preserve">Step 1 </t>
    </r>
    <r>
      <rPr>
        <b/>
        <sz val="11"/>
        <color theme="1"/>
        <rFont val="Calibri"/>
        <family val="2"/>
        <scheme val="minor"/>
      </rPr>
      <t>Insert new columns if you want to put split cell in the middle of the table.</t>
    </r>
  </si>
  <si>
    <r>
      <rPr>
        <b/>
        <sz val="11"/>
        <color rgb="FF000000"/>
        <rFont val="Arial"/>
        <family val="2"/>
      </rPr>
      <t xml:space="preserve">Step 2 </t>
    </r>
    <r>
      <rPr>
        <sz val="11"/>
        <color rgb="FF000000"/>
        <rFont val="Arial"/>
        <family val="2"/>
      </rPr>
      <t>Select the cells you want to divide, navigate to the </t>
    </r>
    <r>
      <rPr>
        <i/>
        <sz val="11"/>
        <color rgb="FF000000"/>
        <rFont val="Arial"/>
        <family val="2"/>
      </rPr>
      <t>Data</t>
    </r>
    <r>
      <rPr>
        <sz val="11"/>
        <color rgb="FF000000"/>
        <rFont val="Arial"/>
        <family val="2"/>
      </rPr>
      <t> tab &gt; </t>
    </r>
    <r>
      <rPr>
        <i/>
        <sz val="11"/>
        <color rgb="FF000000"/>
        <rFont val="Arial"/>
        <family val="2"/>
      </rPr>
      <t>Data Tools</t>
    </r>
    <r>
      <rPr>
        <sz val="11"/>
        <color rgb="FF000000"/>
        <rFont val="Arial"/>
        <family val="2"/>
      </rPr>
      <t> group, and click the </t>
    </r>
    <r>
      <rPr>
        <b/>
        <sz val="11"/>
        <color rgb="FF505050"/>
        <rFont val="Arial"/>
        <family val="2"/>
      </rPr>
      <t xml:space="preserve">Text to Columns </t>
    </r>
    <r>
      <rPr>
        <sz val="11"/>
        <color rgb="FF000000"/>
        <rFont val="Arial"/>
        <family val="2"/>
      </rPr>
      <t>button.</t>
    </r>
  </si>
  <si>
    <r>
      <rPr>
        <b/>
        <sz val="11"/>
        <color rgb="FF000000"/>
        <rFont val="Arial"/>
        <family val="2"/>
      </rPr>
      <t>Step 3</t>
    </r>
    <r>
      <rPr>
        <sz val="11"/>
        <color rgb="FF000000"/>
        <rFont val="Arial"/>
        <family val="2"/>
      </rPr>
      <t xml:space="preserve"> </t>
    </r>
    <r>
      <rPr>
        <sz val="11"/>
        <color theme="1"/>
        <rFont val="Calibri"/>
        <family val="2"/>
        <scheme val="minor"/>
      </rPr>
      <t>User is required to select from the given two options</t>
    </r>
  </si>
  <si>
    <t>Delimited and Fixed Width Option</t>
  </si>
  <si>
    <r>
      <t xml:space="preserve">Step 4 </t>
    </r>
    <r>
      <rPr>
        <sz val="11"/>
        <color theme="1"/>
        <rFont val="Arial"/>
        <family val="2"/>
      </rPr>
      <t xml:space="preserve"> Specify delimiters such as space, comma etc.</t>
    </r>
  </si>
  <si>
    <r>
      <t>You can choose one or more predefined delimiters as well as type your own one in the </t>
    </r>
    <r>
      <rPr>
        <b/>
        <i/>
        <sz val="11"/>
        <color rgb="FF000000"/>
        <rFont val="Arial"/>
        <family val="2"/>
      </rPr>
      <t>Other</t>
    </r>
    <r>
      <rPr>
        <b/>
        <sz val="11"/>
        <color rgb="FF000000"/>
        <rFont val="Arial"/>
        <family val="2"/>
      </rPr>
      <t> box. In this example, we select </t>
    </r>
    <r>
      <rPr>
        <b/>
        <i/>
        <sz val="11"/>
        <color rgb="FF000000"/>
        <rFont val="Arial"/>
        <family val="2"/>
      </rPr>
      <t>Space</t>
    </r>
    <r>
      <rPr>
        <b/>
        <sz val="11"/>
        <color rgb="FF000000"/>
        <rFont val="Arial"/>
        <family val="2"/>
      </rPr>
      <t> and </t>
    </r>
    <r>
      <rPr>
        <b/>
        <i/>
        <sz val="11"/>
        <color rgb="FF000000"/>
        <rFont val="Arial"/>
        <family val="2"/>
      </rPr>
      <t>Comma</t>
    </r>
    <r>
      <rPr>
        <b/>
        <sz val="11"/>
        <color rgb="FF000000"/>
        <rFont val="Arial"/>
        <family val="2"/>
      </rPr>
      <t>:</t>
    </r>
  </si>
  <si>
    <r>
      <rPr>
        <b/>
        <sz val="11"/>
        <color rgb="FF000000"/>
        <rFont val="Arial"/>
        <family val="2"/>
      </rPr>
      <t xml:space="preserve">Step 5 </t>
    </r>
    <r>
      <rPr>
        <sz val="11"/>
        <color rgb="FF000000"/>
        <rFont val="Arial"/>
        <family val="2"/>
      </rPr>
      <t>Lastly, click the </t>
    </r>
    <r>
      <rPr>
        <b/>
        <sz val="11"/>
        <color rgb="FF505050"/>
        <rFont val="Arial"/>
        <family val="2"/>
      </rPr>
      <t>Finish</t>
    </r>
    <r>
      <rPr>
        <sz val="11"/>
        <color rgb="FF000000"/>
        <rFont val="Arial"/>
        <family val="2"/>
      </rPr>
      <t> button and you are done.As shown in the below screenshot, Excel has perfectly split the contents of one cell into several cells:</t>
    </r>
  </si>
  <si>
    <t xml:space="preserve"> How to split text of a fixed width</t>
  </si>
  <si>
    <t xml:space="preserve">This section explains how to divide a cell in Excel based on the number of characters you specify. </t>
  </si>
  <si>
    <t>To make things easier to understand, please consider the following example.</t>
  </si>
  <si>
    <t>Suppose, you have Product IDs and Product names in one column and you want to extract the IDs into a separate column:</t>
  </si>
  <si>
    <t>TEC-PH-10002885Technology</t>
  </si>
  <si>
    <t>FUR-CH-10004086Furniture</t>
  </si>
  <si>
    <t>TEC-MA-10004002Technology</t>
  </si>
  <si>
    <t>TEC-PH-10002114Technology</t>
  </si>
  <si>
    <t>FUR-CH-10001215Furniture</t>
  </si>
  <si>
    <t>FUR-CH-10000309Furniture</t>
  </si>
  <si>
    <t>FUR-CH-10000454Furniture</t>
  </si>
  <si>
    <t>FUR-CH-10004495Furniture</t>
  </si>
  <si>
    <r>
      <t>Since all of the product IDs contain 16 characters, the </t>
    </r>
    <r>
      <rPr>
        <b/>
        <sz val="11"/>
        <color rgb="FF505050"/>
        <rFont val="Arial"/>
        <family val="2"/>
      </rPr>
      <t>Fixed width</t>
    </r>
    <r>
      <rPr>
        <sz val="11"/>
        <color rgb="FF000000"/>
        <rFont val="Arial"/>
        <family val="2"/>
      </rPr>
      <t> option fits perfectly for the job:</t>
    </r>
  </si>
  <si>
    <t>To separate text using fixed width, follow the following steps</t>
  </si>
  <si>
    <r>
      <rPr>
        <b/>
        <sz val="11"/>
        <color rgb="FF000000"/>
        <rFont val="Arial"/>
        <family val="2"/>
      </rPr>
      <t>Step 1</t>
    </r>
    <r>
      <rPr>
        <sz val="11"/>
        <color rgb="FF000000"/>
        <rFont val="Arial"/>
        <family val="2"/>
      </rPr>
      <t xml:space="preserve"> In the text to column wizard, choose fixed width option to separate the text.</t>
    </r>
  </si>
  <si>
    <r>
      <rPr>
        <b/>
        <sz val="11"/>
        <color rgb="FF000000"/>
        <rFont val="Arial"/>
        <family val="2"/>
      </rPr>
      <t xml:space="preserve">Step 2. </t>
    </r>
    <r>
      <rPr>
        <sz val="11"/>
        <color rgb="FF000000"/>
        <rFont val="Arial"/>
        <family val="2"/>
      </rPr>
      <t>Set the width of each column by using the </t>
    </r>
    <r>
      <rPr>
        <b/>
        <sz val="11"/>
        <color rgb="FF505050"/>
        <rFont val="Arial"/>
        <family val="2"/>
      </rPr>
      <t>Data preview</t>
    </r>
    <r>
      <rPr>
        <sz val="11"/>
        <color rgb="FF000000"/>
        <rFont val="Arial"/>
        <family val="2"/>
      </rPr>
      <t xml:space="preserve"> section. </t>
    </r>
  </si>
  <si>
    <t>As shown in the screenshot below, a vertical line represents a column break, and to create a new break line, you simply click at the desired position (16 characters in our case):</t>
  </si>
  <si>
    <r>
      <rPr>
        <b/>
        <sz val="11"/>
        <color rgb="FF000000"/>
        <rFont val="Arial"/>
        <family val="2"/>
      </rPr>
      <t>Step 3.</t>
    </r>
    <r>
      <rPr>
        <sz val="11"/>
        <color rgb="FF000000"/>
        <rFont val="Arial"/>
        <family val="2"/>
      </rPr>
      <t xml:space="preserve"> In the next step, choose the data format and destination for the split cells exactly as we did in the previous example.</t>
    </r>
  </si>
  <si>
    <t>Click the Finish button to complete the separation.</t>
  </si>
  <si>
    <t>You have successfully separated the text as shown below</t>
  </si>
  <si>
    <t>Classroom Exercise</t>
  </si>
  <si>
    <t>Date  &amp; Time Function</t>
  </si>
  <si>
    <t>Date</t>
  </si>
  <si>
    <t>Many times it is required to write a date in standard format in the excel worksheet</t>
  </si>
  <si>
    <t>Date function creates a real date by using three numbers typed into separate cells.</t>
  </si>
  <si>
    <t>In Microsoft Excel date is stored as a serial number. Excel operates on those serial numbers in calculations and formuals.</t>
  </si>
  <si>
    <t>Example</t>
  </si>
  <si>
    <t>is a number designated to 24/03/2018</t>
  </si>
  <si>
    <t>Similarly each date has its own unique serial number and it starts from Jan 1,1900 as Day 1.</t>
  </si>
  <si>
    <t>If year is between 1900 and 9999 inclusive exactly that value is used for year.</t>
  </si>
  <si>
    <t>Date(2015,12,31) returns December 31,2015</t>
  </si>
  <si>
    <t>If the year argument is between 0and 1899 inclusive, excel calculates the year by adding the specified number to 1900.</t>
  </si>
  <si>
    <t>Date(1560,12,31) returns Decemeber 31,3460</t>
  </si>
  <si>
    <t>(1900+1560=3460)</t>
  </si>
  <si>
    <t>Syntax</t>
  </si>
  <si>
    <r>
      <rPr>
        <sz val="11"/>
        <color rgb="FFFF0000"/>
        <rFont val="Verdana"/>
        <family val="2"/>
      </rPr>
      <t>Date</t>
    </r>
    <r>
      <rPr>
        <sz val="11"/>
        <color theme="1"/>
        <rFont val="Verdana"/>
        <family val="2"/>
      </rPr>
      <t>(</t>
    </r>
    <r>
      <rPr>
        <sz val="11"/>
        <color rgb="FF00B050"/>
        <rFont val="Verdana"/>
        <family val="2"/>
      </rPr>
      <t>year,month,day</t>
    </r>
    <r>
      <rPr>
        <sz val="11"/>
        <color theme="1"/>
        <rFont val="Verdana"/>
        <family val="2"/>
      </rPr>
      <t>)</t>
    </r>
  </si>
  <si>
    <t>The result will normally be displayed in the dd/mm/yy format.</t>
  </si>
  <si>
    <t>By using the format,cells, number, Date command, the format can be changed.</t>
  </si>
  <si>
    <t>Datedif</t>
  </si>
  <si>
    <t>This function is used when the user want to know the exact difference between two dates in days, months or years.</t>
  </si>
  <si>
    <t>This function calculates the difference between two dates.</t>
  </si>
  <si>
    <t>It can show the result in weeks, months or years.</t>
  </si>
  <si>
    <r>
      <rPr>
        <sz val="11"/>
        <color rgb="FFFF0000"/>
        <rFont val="Verdana"/>
        <family val="2"/>
      </rPr>
      <t>datedif</t>
    </r>
    <r>
      <rPr>
        <sz val="11"/>
        <color theme="1"/>
        <rFont val="Verdana"/>
        <family val="2"/>
      </rPr>
      <t>(</t>
    </r>
    <r>
      <rPr>
        <sz val="11"/>
        <color rgb="FF00B050"/>
        <rFont val="Verdana"/>
        <family val="2"/>
      </rPr>
      <t>first date,second date, "interval"</t>
    </r>
    <r>
      <rPr>
        <sz val="11"/>
        <color theme="1"/>
        <rFont val="Verdana"/>
        <family val="2"/>
      </rPr>
      <t>)</t>
    </r>
  </si>
  <si>
    <r>
      <rPr>
        <sz val="11"/>
        <color rgb="FF00B050"/>
        <rFont val="Verdana"/>
        <family val="2"/>
      </rPr>
      <t>First date</t>
    </r>
    <r>
      <rPr>
        <sz val="11"/>
        <color theme="1"/>
        <rFont val="Verdana"/>
        <family val="2"/>
      </rPr>
      <t>: Earliest of the two dates.</t>
    </r>
  </si>
  <si>
    <r>
      <rPr>
        <sz val="11"/>
        <color rgb="FF00B050"/>
        <rFont val="Verdana"/>
        <family val="2"/>
      </rPr>
      <t>Second date</t>
    </r>
    <r>
      <rPr>
        <sz val="11"/>
        <color theme="1"/>
        <rFont val="Verdana"/>
        <family val="2"/>
      </rPr>
      <t>: Recent of the two dates.</t>
    </r>
  </si>
  <si>
    <r>
      <rPr>
        <sz val="11"/>
        <color rgb="FF00B050"/>
        <rFont val="Verdana"/>
        <family val="2"/>
      </rPr>
      <t>Interval:</t>
    </r>
    <r>
      <rPr>
        <sz val="11"/>
        <color theme="1"/>
        <rFont val="Verdana"/>
        <family val="2"/>
      </rPr>
      <t xml:space="preserve"> It indicates what you want to calculate</t>
    </r>
  </si>
  <si>
    <r>
      <rPr>
        <sz val="11"/>
        <color rgb="FF00B050"/>
        <rFont val="Verdana"/>
        <family val="2"/>
      </rPr>
      <t>d</t>
    </r>
    <r>
      <rPr>
        <sz val="11"/>
        <color theme="1"/>
        <rFont val="Verdana"/>
        <family val="2"/>
      </rPr>
      <t>-  Total days between two dates</t>
    </r>
  </si>
  <si>
    <r>
      <rPr>
        <sz val="11"/>
        <color rgb="FF00B050"/>
        <rFont val="Verdana"/>
        <family val="2"/>
      </rPr>
      <t>m</t>
    </r>
    <r>
      <rPr>
        <sz val="11"/>
        <color theme="1"/>
        <rFont val="Verdana"/>
        <family val="2"/>
      </rPr>
      <t>- total month between two dates</t>
    </r>
  </si>
  <si>
    <r>
      <rPr>
        <sz val="11"/>
        <color rgb="FF00B050"/>
        <rFont val="Verdana"/>
        <family val="2"/>
      </rPr>
      <t>y</t>
    </r>
    <r>
      <rPr>
        <sz val="11"/>
        <color theme="1"/>
        <rFont val="Verdana"/>
        <family val="2"/>
      </rPr>
      <t>- Total years between two dates</t>
    </r>
  </si>
  <si>
    <t>CA-2016-152156</t>
  </si>
  <si>
    <t>CA-2016-138688</t>
  </si>
  <si>
    <t>US-2015-108966</t>
  </si>
  <si>
    <t>CA-2014-115812</t>
  </si>
  <si>
    <t>Difference between the order date and ship date in days for order id CA-2016-152156</t>
  </si>
  <si>
    <t>Difference between the first order date and last order date in months for 2016</t>
  </si>
  <si>
    <t>Difference between the order date of order Id CA-2016-152156 and CA-2014-115812 in years</t>
  </si>
  <si>
    <t>TODAY</t>
  </si>
  <si>
    <t>It shows the current date.</t>
  </si>
  <si>
    <t>TODAY()</t>
  </si>
  <si>
    <t>WEEKDAY</t>
  </si>
  <si>
    <t>It returns with the day of the week</t>
  </si>
  <si>
    <r>
      <t>WEEKDAY</t>
    </r>
    <r>
      <rPr>
        <sz val="11"/>
        <rFont val="Verdana"/>
        <family val="2"/>
      </rPr>
      <t>(</t>
    </r>
    <r>
      <rPr>
        <sz val="11"/>
        <color rgb="FF00B050"/>
        <rFont val="Verdana"/>
        <family val="2"/>
      </rPr>
      <t>Date,</t>
    </r>
    <r>
      <rPr>
        <sz val="11"/>
        <color theme="7" tint="-0.249977111117893"/>
        <rFont val="Verdana"/>
        <family val="2"/>
      </rPr>
      <t>type</t>
    </r>
    <r>
      <rPr>
        <sz val="11"/>
        <rFont val="Verdana"/>
        <family val="2"/>
      </rPr>
      <t>)</t>
    </r>
  </si>
  <si>
    <t>Type is used to indicate the weekday numbering system</t>
  </si>
  <si>
    <t>1 will set Sunday as 1 through to Saturday as 7.</t>
  </si>
  <si>
    <t>2 will set Monday as 1 through to Sunday as 7.</t>
  </si>
  <si>
    <t>if no number is specified excel will use 1.</t>
  </si>
  <si>
    <t>What day of the week it was on the first order date of 2016</t>
  </si>
  <si>
    <t>TIME Functions</t>
  </si>
  <si>
    <t>Excel treats time as a portion of a day, times are stored as decimal fractions.</t>
  </si>
  <si>
    <t>In Excel</t>
  </si>
  <si>
    <t>00:00:00 is stored as 0.0</t>
  </si>
  <si>
    <t>23:59:59 is stored as 0.99999</t>
  </si>
  <si>
    <t>06:00 am is stored as 0.25</t>
  </si>
  <si>
    <t>When both date and time are entered into any cell,they are stored as a decimal number comprised of an integer representing the date and a decimal portion representing the time.</t>
  </si>
  <si>
    <t>Above number represent this date and time</t>
  </si>
  <si>
    <t xml:space="preserve">Adding timestamps using Shortcuts </t>
  </si>
  <si>
    <t>To insert current time press ctrl+shift+;</t>
  </si>
  <si>
    <t>To enter the current date and time press ctrl+; which insert a date and then pres the spacekey and then hit ctrl+shift+; to insert the current time</t>
  </si>
  <si>
    <t>Now</t>
  </si>
  <si>
    <t>Now function retrieves time from the computer system clock.</t>
  </si>
  <si>
    <t>It is one of the excel volatile functions that cause the cell with the formula to recalculate everytime the worksheet is reopened or recalculated.</t>
  </si>
  <si>
    <r>
      <t>now</t>
    </r>
    <r>
      <rPr>
        <sz val="11"/>
        <rFont val="Verdana"/>
        <family val="2"/>
      </rPr>
      <t>()</t>
    </r>
  </si>
  <si>
    <t>Text functions are mostly used in ETL i.e Extract Transform Load.</t>
  </si>
  <si>
    <t>It is used to edit the data that is not in the proper format and make it ready to use further.</t>
  </si>
  <si>
    <t>The most commonly used Text functions are:</t>
  </si>
  <si>
    <t>PROPER()</t>
  </si>
  <si>
    <r>
      <rPr>
        <sz val="11"/>
        <color rgb="FFFF0000"/>
        <rFont val="Verdana"/>
        <family val="2"/>
      </rPr>
      <t>Proper</t>
    </r>
    <r>
      <rPr>
        <sz val="11"/>
        <color theme="1"/>
        <rFont val="Verdana"/>
        <family val="2"/>
      </rPr>
      <t xml:space="preserve"> function converts the text into proper case.</t>
    </r>
  </si>
  <si>
    <t>SYNTAX</t>
  </si>
  <si>
    <r>
      <t>PROPER</t>
    </r>
    <r>
      <rPr>
        <sz val="11"/>
        <rFont val="Verdana"/>
        <family val="2"/>
      </rPr>
      <t>(</t>
    </r>
    <r>
      <rPr>
        <sz val="11"/>
        <color rgb="FF00B050"/>
        <rFont val="Verdana"/>
        <family val="2"/>
      </rPr>
      <t>Text</t>
    </r>
    <r>
      <rPr>
        <sz val="11"/>
        <rFont val="Verdana"/>
        <family val="2"/>
      </rPr>
      <t>)</t>
    </r>
  </si>
  <si>
    <t>eg.</t>
  </si>
  <si>
    <t>doroThy warDlE</t>
  </si>
  <si>
    <t>victOriA breNNAN</t>
  </si>
  <si>
    <t>Christine Abelman</t>
  </si>
  <si>
    <t>Janet Martin</t>
  </si>
  <si>
    <t>ed braxton</t>
  </si>
  <si>
    <t>UPPER()</t>
  </si>
  <si>
    <r>
      <rPr>
        <sz val="11"/>
        <color rgb="FFFF0000"/>
        <rFont val="Verdana"/>
        <family val="2"/>
      </rPr>
      <t>Upper</t>
    </r>
    <r>
      <rPr>
        <sz val="11"/>
        <color theme="1"/>
        <rFont val="Verdana"/>
        <family val="2"/>
      </rPr>
      <t xml:space="preserve"> function converts all the text into the upper case.</t>
    </r>
  </si>
  <si>
    <r>
      <rPr>
        <sz val="11"/>
        <color rgb="FFFF0000"/>
        <rFont val="Verdana"/>
        <family val="2"/>
      </rPr>
      <t>UPPER</t>
    </r>
    <r>
      <rPr>
        <sz val="11"/>
        <color theme="1"/>
        <rFont val="Verdana"/>
        <family val="2"/>
      </rPr>
      <t>(</t>
    </r>
    <r>
      <rPr>
        <sz val="11"/>
        <color rgb="FF00B050"/>
        <rFont val="Verdana"/>
        <family val="2"/>
      </rPr>
      <t>text</t>
    </r>
    <r>
      <rPr>
        <sz val="11"/>
        <color theme="1"/>
        <rFont val="Verdana"/>
        <family val="2"/>
      </rPr>
      <t>)</t>
    </r>
  </si>
  <si>
    <t>LOWER()</t>
  </si>
  <si>
    <r>
      <rPr>
        <sz val="11"/>
        <color rgb="FFFF0000"/>
        <rFont val="Verdana"/>
        <family val="2"/>
      </rPr>
      <t>Lower</t>
    </r>
    <r>
      <rPr>
        <sz val="11"/>
        <color theme="1"/>
        <rFont val="Verdana"/>
        <family val="2"/>
      </rPr>
      <t xml:space="preserve"> function converts all the text in to lower case.</t>
    </r>
  </si>
  <si>
    <r>
      <rPr>
        <sz val="11"/>
        <color rgb="FFFF0000"/>
        <rFont val="Verdana"/>
        <family val="2"/>
      </rPr>
      <t>LOWER</t>
    </r>
    <r>
      <rPr>
        <sz val="11"/>
        <color theme="1"/>
        <rFont val="Verdana"/>
        <family val="2"/>
      </rPr>
      <t>(</t>
    </r>
    <r>
      <rPr>
        <sz val="11"/>
        <color rgb="FF00B050"/>
        <rFont val="Verdana"/>
        <family val="2"/>
      </rPr>
      <t>text</t>
    </r>
    <r>
      <rPr>
        <sz val="11"/>
        <color theme="1"/>
        <rFont val="Verdana"/>
        <family val="2"/>
      </rPr>
      <t>)</t>
    </r>
  </si>
  <si>
    <t>eg</t>
  </si>
  <si>
    <t>Left()</t>
  </si>
  <si>
    <r>
      <rPr>
        <sz val="12"/>
        <color rgb="FFFF0000"/>
        <rFont val="Verdana"/>
        <family val="2"/>
      </rPr>
      <t>Left</t>
    </r>
    <r>
      <rPr>
        <sz val="12"/>
        <color theme="1"/>
        <rFont val="Verdana"/>
        <family val="2"/>
      </rPr>
      <t xml:space="preserve"> Function is used to extract leftmost characters from the string of text.</t>
    </r>
  </si>
  <si>
    <t>The number of characters to be extracted has to be specified by the user.</t>
  </si>
  <si>
    <r>
      <t>LEFT</t>
    </r>
    <r>
      <rPr>
        <sz val="12"/>
        <rFont val="Verdana"/>
        <family val="2"/>
      </rPr>
      <t>(</t>
    </r>
    <r>
      <rPr>
        <sz val="12"/>
        <color rgb="FF00B050"/>
        <rFont val="Verdana"/>
        <family val="2"/>
      </rPr>
      <t>text,num_char</t>
    </r>
    <r>
      <rPr>
        <sz val="12"/>
        <rFont val="Verdana"/>
        <family val="2"/>
      </rPr>
      <t>)</t>
    </r>
  </si>
  <si>
    <r>
      <t>num_char</t>
    </r>
    <r>
      <rPr>
        <sz val="12"/>
        <rFont val="Verdana"/>
        <family val="2"/>
      </rPr>
      <t>- The number of characters that needs to be extracted.</t>
    </r>
  </si>
  <si>
    <t>RIGHT()</t>
  </si>
  <si>
    <r>
      <t xml:space="preserve">Right </t>
    </r>
    <r>
      <rPr>
        <sz val="11"/>
        <rFont val="Verdana"/>
        <family val="2"/>
      </rPr>
      <t>function is used to extract rightmost characters from the string of text.</t>
    </r>
  </si>
  <si>
    <r>
      <t>RIGHT</t>
    </r>
    <r>
      <rPr>
        <sz val="11"/>
        <rFont val="Verdana"/>
        <family val="2"/>
      </rPr>
      <t>(</t>
    </r>
    <r>
      <rPr>
        <sz val="11"/>
        <color rgb="FF00B050"/>
        <rFont val="Verdana"/>
        <family val="2"/>
      </rPr>
      <t>text,num_char</t>
    </r>
    <r>
      <rPr>
        <sz val="11"/>
        <rFont val="Verdana"/>
        <family val="2"/>
      </rPr>
      <t>)</t>
    </r>
  </si>
  <si>
    <r>
      <rPr>
        <sz val="11"/>
        <color rgb="FF00B050"/>
        <rFont val="Verdana"/>
        <family val="2"/>
      </rPr>
      <t>num_char</t>
    </r>
    <r>
      <rPr>
        <sz val="11"/>
        <color theme="1"/>
        <rFont val="Verdana"/>
        <family val="2"/>
      </rPr>
      <t>- The number of characters that needs to be extracted.</t>
    </r>
  </si>
  <si>
    <t>CONCATENATE</t>
  </si>
  <si>
    <t>It allows the user to combine text from different cells into one cell.</t>
  </si>
  <si>
    <r>
      <rPr>
        <sz val="11"/>
        <color rgb="FFFF0000"/>
        <rFont val="Verdana"/>
        <family val="2"/>
      </rPr>
      <t>CONCATENATE</t>
    </r>
    <r>
      <rPr>
        <sz val="11"/>
        <rFont val="Verdana"/>
        <family val="2"/>
      </rPr>
      <t>(</t>
    </r>
    <r>
      <rPr>
        <sz val="11"/>
        <color rgb="FF00B050"/>
        <rFont val="Verdana"/>
        <family val="2"/>
      </rPr>
      <t>text1,text2….</t>
    </r>
    <r>
      <rPr>
        <sz val="11"/>
        <rFont val="Verdana"/>
        <family val="2"/>
      </rPr>
      <t>)</t>
    </r>
  </si>
  <si>
    <t>Dorothy</t>
  </si>
  <si>
    <t>Wardle</t>
  </si>
  <si>
    <t xml:space="preserve">Victoria </t>
  </si>
  <si>
    <t>Brennan</t>
  </si>
  <si>
    <t xml:space="preserve">Christine </t>
  </si>
  <si>
    <t>Abelman</t>
  </si>
  <si>
    <t xml:space="preserve">Janet </t>
  </si>
  <si>
    <t>Martin</t>
  </si>
  <si>
    <t xml:space="preserve">Ed </t>
  </si>
  <si>
    <t>Braxton</t>
  </si>
  <si>
    <t>TRIM</t>
  </si>
  <si>
    <r>
      <rPr>
        <sz val="11"/>
        <color rgb="FFFF0000"/>
        <rFont val="Verdana"/>
        <family val="2"/>
      </rPr>
      <t>Trim</t>
    </r>
    <r>
      <rPr>
        <sz val="11"/>
        <color theme="1"/>
        <rFont val="Verdana"/>
        <family val="2"/>
      </rPr>
      <t xml:space="preserve"> function allows the user to remove the extra spaces between the text string.</t>
    </r>
  </si>
  <si>
    <r>
      <t>TRIM</t>
    </r>
    <r>
      <rPr>
        <sz val="11"/>
        <rFont val="Verdana"/>
        <family val="2"/>
      </rPr>
      <t>(</t>
    </r>
    <r>
      <rPr>
        <sz val="11"/>
        <color rgb="FF00B050"/>
        <rFont val="Verdana"/>
        <family val="2"/>
      </rPr>
      <t>text</t>
    </r>
    <r>
      <rPr>
        <sz val="11"/>
        <rFont val="Verdana"/>
        <family val="2"/>
      </rPr>
      <t>)</t>
    </r>
  </si>
  <si>
    <t>Dorothy   Wardle</t>
  </si>
  <si>
    <t>Victoria    Brennan</t>
  </si>
  <si>
    <t>Christine    Abelman</t>
  </si>
  <si>
    <t>Janet   Martin</t>
  </si>
  <si>
    <t>Ed   Braxton</t>
  </si>
  <si>
    <t>LEN</t>
  </si>
  <si>
    <r>
      <t xml:space="preserve">LEN </t>
    </r>
    <r>
      <rPr>
        <sz val="12"/>
        <rFont val="Verdana"/>
        <family val="2"/>
      </rPr>
      <t>helps the user to find the total length of the characters in the string.</t>
    </r>
  </si>
  <si>
    <r>
      <t xml:space="preserve">LEN </t>
    </r>
    <r>
      <rPr>
        <sz val="12"/>
        <rFont val="Verdana"/>
        <family val="2"/>
      </rPr>
      <t>is used when the string is of varying length.</t>
    </r>
  </si>
  <si>
    <r>
      <rPr>
        <sz val="11"/>
        <color rgb="FFFF0000"/>
        <rFont val="Verdana"/>
        <family val="2"/>
      </rPr>
      <t>LEN</t>
    </r>
    <r>
      <rPr>
        <sz val="11"/>
        <color theme="1"/>
        <rFont val="Verdana"/>
        <family val="2"/>
      </rPr>
      <t>(</t>
    </r>
    <r>
      <rPr>
        <sz val="11"/>
        <color rgb="FF00B050"/>
        <rFont val="Verdana"/>
        <family val="2"/>
      </rPr>
      <t>TEXT</t>
    </r>
    <r>
      <rPr>
        <sz val="11"/>
        <color theme="1"/>
        <rFont val="Verdana"/>
        <family val="2"/>
      </rPr>
      <t>)</t>
    </r>
  </si>
  <si>
    <t>X(length of the text)</t>
  </si>
  <si>
    <t>Dorothy Wardle</t>
  </si>
  <si>
    <t>Victoria Brennan</t>
  </si>
  <si>
    <t>Ed Braxton</t>
  </si>
  <si>
    <t>% Sales</t>
  </si>
  <si>
    <t>US-2016-110156</t>
  </si>
  <si>
    <t>EH-13945</t>
  </si>
  <si>
    <t>Eric Hoffmann</t>
  </si>
  <si>
    <t>Houston</t>
  </si>
  <si>
    <t>Texas</t>
  </si>
  <si>
    <t>US-2016-144393</t>
  </si>
  <si>
    <t>SM-20950</t>
  </si>
  <si>
    <t>Suzanne McNair</t>
  </si>
  <si>
    <t>Greenville</t>
  </si>
  <si>
    <t>North Carolina</t>
  </si>
  <si>
    <t>CA-2014-122567</t>
  </si>
  <si>
    <t>MN-17935</t>
  </si>
  <si>
    <t>Michael Nguyen</t>
  </si>
  <si>
    <t>Dallas</t>
  </si>
  <si>
    <t>CA-2017-122154</t>
  </si>
  <si>
    <t>SA-20830</t>
  </si>
  <si>
    <t>Sue Ann Reed</t>
  </si>
  <si>
    <t>Jacksonville</t>
  </si>
  <si>
    <t>US-2016-134488</t>
  </si>
  <si>
    <t>PK-19075</t>
  </si>
  <si>
    <t>Pete Kriz</t>
  </si>
  <si>
    <t>US-2016-103646</t>
  </si>
  <si>
    <t>SP-20545</t>
  </si>
  <si>
    <t>Sibella Parks</t>
  </si>
  <si>
    <t>Chicago</t>
  </si>
  <si>
    <t>Illinois</t>
  </si>
  <si>
    <t>CA-2017-140585</t>
  </si>
  <si>
    <t>RA-19915</t>
  </si>
  <si>
    <t>Russell Applegate</t>
  </si>
  <si>
    <t>Encinitas</t>
  </si>
  <si>
    <t>CA-2017-113481</t>
  </si>
  <si>
    <t>AS-10045</t>
  </si>
  <si>
    <t>Aaron Smayling</t>
  </si>
  <si>
    <t>CA-2014-151708</t>
  </si>
  <si>
    <t>MB-17305</t>
  </si>
  <si>
    <t>Maria Bertelson</t>
  </si>
  <si>
    <t>Glendale</t>
  </si>
  <si>
    <t>Q1. Use conditional formatting to highlight the cells in Column M
Red For sales less that 10
Green for sales more than 100</t>
  </si>
  <si>
    <t>Q2. Highlight the Order ID in Red where it has taken more than 3 days to ship the order.</t>
  </si>
  <si>
    <t>Q3. Sort al the customer's name in Alphabetical order.</t>
  </si>
  <si>
    <t>Q4.Freeze the top row.</t>
  </si>
  <si>
    <t>Q5.On the data below apply Filter and show only consumer segment in Houston.</t>
  </si>
  <si>
    <t>Q6.</t>
  </si>
  <si>
    <t>Using suitable text function combine Order Id and Customer Id in the space provided.</t>
  </si>
  <si>
    <t>Q7. Separate the Row Id, Order Id and Customer Name using Text to Column</t>
  </si>
  <si>
    <t>RowID</t>
  </si>
  <si>
    <t xml:space="preserve">OrderID </t>
  </si>
  <si>
    <t>Customer</t>
  </si>
  <si>
    <t>CA-2016-124590</t>
  </si>
  <si>
    <t>Susan Pistek</t>
  </si>
  <si>
    <t>CA-2015-105571</t>
  </si>
  <si>
    <t>Christine Phan</t>
  </si>
  <si>
    <t>Q8. Create a data validation in the space provided where only numerical value in the range of 6000-6500 can be enetered.</t>
  </si>
  <si>
    <t xml:space="preserve">Row Id </t>
  </si>
  <si>
    <t>Q9. Circle Invalid date i.e any nuumber greater than 5500</t>
  </si>
  <si>
    <t>Q10 Separate the First Name and the last name in the space provided</t>
  </si>
  <si>
    <t>First name</t>
  </si>
  <si>
    <t>Last Name</t>
  </si>
  <si>
    <t>6015,CA-2016-159016Karen Ferguson</t>
  </si>
  <si>
    <t>6100,CA-2017-100111Seth Vernon</t>
  </si>
  <si>
    <t>6011,CA-2015-135580Clay Ludtke</t>
  </si>
  <si>
    <t>6117 ,US-2016-113677Corinna Mitchell</t>
  </si>
  <si>
    <t>6102,CA-2017-100111Seth Vernon</t>
  </si>
  <si>
    <t>6176 ,CA-2015-158421Giulietta Baptist</t>
  </si>
  <si>
    <t>6114,CA-2016-124590Susan Pistek</t>
  </si>
  <si>
    <t>6111 ,CA-2016-124590Susan Pistek</t>
  </si>
  <si>
    <t>6049,CA-2015-105571Christine Phan</t>
  </si>
  <si>
    <t>6101,CA-2017-100111Seth Vernon</t>
  </si>
  <si>
    <t>OrderID</t>
  </si>
  <si>
    <t>CustomerName</t>
  </si>
  <si>
    <t>6015,</t>
  </si>
  <si>
    <t>CA-2016-</t>
  </si>
  <si>
    <t>159016 Karen Ferguson</t>
  </si>
  <si>
    <t>6100,</t>
  </si>
  <si>
    <t>CA-2017-</t>
  </si>
  <si>
    <t>100111 Seth Vernon</t>
  </si>
  <si>
    <t>6011,</t>
  </si>
  <si>
    <t>CA-2015-</t>
  </si>
  <si>
    <t>135580 Clay Ludtke</t>
  </si>
  <si>
    <t>6117 ,</t>
  </si>
  <si>
    <t>US-2016-</t>
  </si>
  <si>
    <t>113677 Corinna Mitchell</t>
  </si>
  <si>
    <t>6102,</t>
  </si>
  <si>
    <t>6176 ,</t>
  </si>
  <si>
    <t>158421 Giulietta Baptist</t>
  </si>
  <si>
    <t>6114,</t>
  </si>
  <si>
    <t>124590 Susan Pistek</t>
  </si>
  <si>
    <t>6111 ,</t>
  </si>
  <si>
    <t>6049,</t>
  </si>
  <si>
    <t>105571 Christine Phan</t>
  </si>
  <si>
    <t>6101,</t>
  </si>
  <si>
    <t>Product Id and</t>
  </si>
  <si>
    <t>PR-89007</t>
  </si>
  <si>
    <t>CF-76541</t>
  </si>
  <si>
    <t>MN-09856</t>
  </si>
  <si>
    <t>BL-34507</t>
  </si>
  <si>
    <t>RA-23098</t>
  </si>
  <si>
    <t>PS-28003</t>
  </si>
  <si>
    <t>KW-40897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</si>
</sst>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Red]0.00"/>
    <numFmt numFmtId="165" formatCode="0.000"/>
    <numFmt numFmtId="166" formatCode="0.0"/>
    <numFmt numFmtId="167" formatCode="0.00_);\(0.00\)"/>
    <numFmt numFmtId="168" formatCode="[$-F400]h:mm:ss\ AM/PM"/>
  </numFmts>
  <fonts count="37">
    <font>
      <sz val="11"/>
      <color theme="1"/>
      <name val="Calibri"/>
      <family val="2"/>
      <scheme val="minor"/>
    </font>
    <font>
      <sz val="11"/>
      <color theme="1"/>
      <name val="Calibri"/>
      <family val="2"/>
      <scheme val="minor"/>
    </font>
    <font>
      <b/>
      <sz val="11"/>
      <color theme="1"/>
      <name val="Calibri"/>
      <family val="2"/>
      <scheme val="minor"/>
    </font>
    <font>
      <b/>
      <sz val="12"/>
      <color theme="0"/>
      <name val="Calibri"/>
      <family val="2"/>
      <scheme val="minor"/>
    </font>
    <font>
      <b/>
      <sz val="12"/>
      <color theme="1"/>
      <name val="Calibri"/>
      <family val="2"/>
      <scheme val="minor"/>
    </font>
    <font>
      <b/>
      <sz val="11"/>
      <color theme="1"/>
      <name val="Verdana"/>
      <family val="2"/>
    </font>
    <font>
      <sz val="11"/>
      <color theme="1"/>
      <name val="Verdana"/>
      <family val="2"/>
    </font>
    <font>
      <sz val="11"/>
      <color rgb="FF000000"/>
      <name val="Arial"/>
      <family val="2"/>
    </font>
    <font>
      <b/>
      <sz val="11"/>
      <color rgb="FF505050"/>
      <name val="Arial"/>
      <family val="2"/>
    </font>
    <font>
      <b/>
      <sz val="11"/>
      <color rgb="FF000000"/>
      <name val="Arial"/>
      <family val="2"/>
    </font>
    <font>
      <i/>
      <sz val="11"/>
      <color rgb="FF000000"/>
      <name val="Arial"/>
      <family val="2"/>
    </font>
    <font>
      <b/>
      <sz val="11"/>
      <color theme="1"/>
      <name val="Arial"/>
      <family val="2"/>
    </font>
    <font>
      <sz val="11"/>
      <color theme="1"/>
      <name val="Arial"/>
      <family val="2"/>
    </font>
    <font>
      <b/>
      <i/>
      <sz val="11"/>
      <color rgb="FF000000"/>
      <name val="Arial"/>
      <family val="2"/>
    </font>
    <font>
      <sz val="11"/>
      <color rgb="FF000000"/>
      <name val="Verdana"/>
      <family val="2"/>
    </font>
    <font>
      <b/>
      <sz val="11"/>
      <color rgb="FFFF0000"/>
      <name val="Verdana"/>
      <family val="2"/>
    </font>
    <font>
      <sz val="11"/>
      <color rgb="FFFF0000"/>
      <name val="Verdana"/>
      <family val="2"/>
    </font>
    <font>
      <sz val="11"/>
      <color rgb="FF00B050"/>
      <name val="Verdana"/>
      <family val="2"/>
    </font>
    <font>
      <sz val="12"/>
      <color rgb="FF000000"/>
      <name val="Calibri"/>
      <family val="2"/>
      <scheme val="minor"/>
    </font>
    <font>
      <sz val="11"/>
      <name val="Verdana"/>
      <family val="2"/>
    </font>
    <font>
      <sz val="11"/>
      <color theme="7" tint="-0.249977111117893"/>
      <name val="Verdana"/>
      <family val="2"/>
    </font>
    <font>
      <sz val="12"/>
      <color theme="1"/>
      <name val="Calibri"/>
      <family val="2"/>
      <scheme val="minor"/>
    </font>
    <font>
      <sz val="12"/>
      <color theme="1"/>
      <name val="Verdana"/>
      <family val="2"/>
    </font>
    <font>
      <b/>
      <sz val="12"/>
      <color rgb="FFFF0000"/>
      <name val="Verdana"/>
      <family val="2"/>
    </font>
    <font>
      <b/>
      <sz val="12"/>
      <color theme="1"/>
      <name val="Verdana"/>
      <family val="2"/>
    </font>
    <font>
      <sz val="12"/>
      <color rgb="FFFF0000"/>
      <name val="Verdana"/>
      <family val="2"/>
    </font>
    <font>
      <sz val="12"/>
      <name val="Verdana"/>
      <family val="2"/>
    </font>
    <font>
      <sz val="12"/>
      <color rgb="FF00B050"/>
      <name val="Verdana"/>
      <family val="2"/>
    </font>
    <font>
      <sz val="11"/>
      <color rgb="FF7030A0"/>
      <name val="Verdana"/>
      <family val="2"/>
    </font>
    <font>
      <b/>
      <sz val="11"/>
      <name val="Verdana"/>
      <family val="2"/>
    </font>
    <font>
      <sz val="12"/>
      <color theme="0"/>
      <name val="Verdana"/>
      <family val="2"/>
    </font>
    <font>
      <b/>
      <sz val="12"/>
      <color rgb="FF000000"/>
      <name val="Verdana"/>
      <family val="2"/>
    </font>
    <font>
      <b/>
      <sz val="12"/>
      <color theme="0"/>
      <name val="Verdana"/>
      <family val="2"/>
    </font>
    <font>
      <b/>
      <sz val="11"/>
      <color theme="0"/>
      <name val="Verdana"/>
      <family val="2"/>
    </font>
    <font>
      <sz val="10"/>
      <color theme="1"/>
      <name val="Verdana"/>
      <family val="2"/>
    </font>
    <font>
      <sz val="9"/>
      <color theme="1"/>
      <name val="Verdana"/>
      <family val="2"/>
    </font>
    <font>
      <i/>
      <sz val="7"/>
      <color rgb="FF0A0A0A"/>
      <name val="Arial Unicode MS"/>
    </font>
  </fonts>
  <fills count="8">
    <fill>
      <patternFill patternType="none"/>
    </fill>
    <fill>
      <patternFill patternType="gray125"/>
    </fill>
    <fill>
      <patternFill patternType="solid">
        <fgColor theme="6" tint="-0.499984740745262"/>
        <bgColor indexed="64"/>
      </patternFill>
    </fill>
    <fill>
      <patternFill patternType="solid">
        <fgColor theme="0"/>
        <bgColor indexed="64"/>
      </patternFill>
    </fill>
    <fill>
      <patternFill patternType="solid">
        <fgColor rgb="FFFFFF00"/>
        <bgColor indexed="64"/>
      </patternFill>
    </fill>
    <fill>
      <patternFill patternType="solid">
        <fgColor rgb="FF003300"/>
        <bgColor indexed="64"/>
      </patternFill>
    </fill>
    <fill>
      <patternFill patternType="solid">
        <fgColor rgb="FF00B0F0"/>
        <bgColor indexed="64"/>
      </patternFill>
    </fill>
    <fill>
      <patternFill patternType="solid">
        <fgColor theme="9"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21" fillId="0" borderId="0"/>
    <xf numFmtId="0" fontId="21" fillId="0" borderId="0"/>
    <xf numFmtId="0" fontId="21" fillId="0" borderId="0"/>
  </cellStyleXfs>
  <cellXfs count="112">
    <xf numFmtId="0" fontId="0" fillId="0" borderId="0" xfId="0"/>
    <xf numFmtId="0" fontId="3" fillId="2" borderId="1" xfId="0" applyFont="1" applyFill="1" applyBorder="1" applyAlignment="1">
      <alignment horizontal="center"/>
    </xf>
    <xf numFmtId="9" fontId="3" fillId="2" borderId="1" xfId="1" applyFont="1" applyFill="1" applyBorder="1" applyAlignment="1">
      <alignment horizontal="center"/>
    </xf>
    <xf numFmtId="0" fontId="3" fillId="3" borderId="0" xfId="0" applyFont="1" applyFill="1" applyAlignment="1">
      <alignment horizontal="center"/>
    </xf>
    <xf numFmtId="0" fontId="3" fillId="3" borderId="0" xfId="0" applyFont="1" applyFill="1"/>
    <xf numFmtId="0" fontId="0" fillId="3" borderId="0" xfId="0" applyFill="1"/>
    <xf numFmtId="0" fontId="0" fillId="0" borderId="1" xfId="0" applyBorder="1" applyAlignment="1">
      <alignment horizontal="center"/>
    </xf>
    <xf numFmtId="14" fontId="0" fillId="0" borderId="1" xfId="0" applyNumberFormat="1" applyBorder="1" applyAlignment="1">
      <alignment horizontal="center"/>
    </xf>
    <xf numFmtId="9" fontId="0" fillId="0" borderId="1" xfId="1" applyFont="1" applyBorder="1" applyAlignment="1">
      <alignment horizontal="center"/>
    </xf>
    <xf numFmtId="0" fontId="0" fillId="3" borderId="0" xfId="0" applyFill="1" applyAlignment="1">
      <alignment horizontal="center"/>
    </xf>
    <xf numFmtId="0" fontId="0" fillId="0" borderId="0" xfId="0" applyAlignment="1">
      <alignment horizontal="center"/>
    </xf>
    <xf numFmtId="0" fontId="4" fillId="4" borderId="1" xfId="0" applyFont="1" applyFill="1" applyBorder="1" applyAlignment="1">
      <alignment horizontal="center"/>
    </xf>
    <xf numFmtId="0" fontId="0" fillId="4" borderId="1" xfId="0" applyFill="1" applyBorder="1"/>
    <xf numFmtId="0" fontId="5" fillId="0" borderId="0" xfId="0" applyFont="1"/>
    <xf numFmtId="0" fontId="6" fillId="0" borderId="0" xfId="0" applyFont="1"/>
    <xf numFmtId="0" fontId="0" fillId="0" borderId="0" xfId="0" applyAlignment="1">
      <alignment horizontal="left"/>
    </xf>
    <xf numFmtId="0" fontId="7" fillId="0" borderId="0" xfId="0" applyFont="1"/>
    <xf numFmtId="0" fontId="9" fillId="0" borderId="0" xfId="0" applyFont="1"/>
    <xf numFmtId="0" fontId="2" fillId="0" borderId="0" xfId="0" applyFont="1"/>
    <xf numFmtId="0" fontId="3" fillId="5" borderId="1" xfId="0" applyFont="1" applyFill="1" applyBorder="1" applyAlignment="1">
      <alignment horizontal="center"/>
    </xf>
    <xf numFmtId="0" fontId="0" fillId="0" borderId="1" xfId="0" applyBorder="1"/>
    <xf numFmtId="0" fontId="11" fillId="0" borderId="0" xfId="0" applyFont="1"/>
    <xf numFmtId="0" fontId="14" fillId="0" borderId="0" xfId="0" applyFont="1" applyAlignment="1">
      <alignment horizontal="left"/>
    </xf>
    <xf numFmtId="0" fontId="3" fillId="2" borderId="2" xfId="0" applyFont="1" applyFill="1" applyBorder="1" applyAlignment="1">
      <alignment horizontal="center"/>
    </xf>
    <xf numFmtId="0" fontId="15" fillId="0" borderId="0" xfId="0" applyFont="1"/>
    <xf numFmtId="14" fontId="6" fillId="0" borderId="0" xfId="0" applyNumberFormat="1" applyFont="1"/>
    <xf numFmtId="1" fontId="6" fillId="0" borderId="0" xfId="0" applyNumberFormat="1" applyFont="1"/>
    <xf numFmtId="164" fontId="6" fillId="0" borderId="0" xfId="0" applyNumberFormat="1" applyFont="1"/>
    <xf numFmtId="2" fontId="6" fillId="0" borderId="0" xfId="0" applyNumberFormat="1" applyFont="1"/>
    <xf numFmtId="165" fontId="6" fillId="0" borderId="0" xfId="0" applyNumberFormat="1" applyFont="1"/>
    <xf numFmtId="166" fontId="6" fillId="0" borderId="0" xfId="0" applyNumberFormat="1" applyFont="1"/>
    <xf numFmtId="0" fontId="18" fillId="6" borderId="1" xfId="0" applyFont="1" applyFill="1" applyBorder="1"/>
    <xf numFmtId="14" fontId="0" fillId="0" borderId="1" xfId="0" applyNumberFormat="1" applyBorder="1"/>
    <xf numFmtId="14" fontId="0" fillId="0" borderId="0" xfId="0" applyNumberFormat="1"/>
    <xf numFmtId="0" fontId="0" fillId="4" borderId="0" xfId="0" applyFill="1"/>
    <xf numFmtId="0" fontId="16" fillId="0" borderId="0" xfId="0" applyFont="1"/>
    <xf numFmtId="0" fontId="6" fillId="4" borderId="0" xfId="0" applyFont="1" applyFill="1"/>
    <xf numFmtId="18" fontId="6" fillId="0" borderId="0" xfId="0" applyNumberFormat="1" applyFont="1"/>
    <xf numFmtId="2" fontId="6" fillId="4" borderId="0" xfId="0" applyNumberFormat="1" applyFont="1" applyFill="1"/>
    <xf numFmtId="22" fontId="6" fillId="4" borderId="0" xfId="0" applyNumberFormat="1" applyFont="1" applyFill="1"/>
    <xf numFmtId="22" fontId="6" fillId="0" borderId="0" xfId="0" applyNumberFormat="1" applyFont="1"/>
    <xf numFmtId="0" fontId="0" fillId="0" borderId="0" xfId="0" applyProtection="1">
      <protection hidden="1"/>
    </xf>
    <xf numFmtId="18" fontId="0" fillId="0" borderId="0" xfId="0" applyNumberFormat="1"/>
    <xf numFmtId="22" fontId="0" fillId="0" borderId="0" xfId="0" applyNumberFormat="1"/>
    <xf numFmtId="0" fontId="22" fillId="0" borderId="1" xfId="2" applyFont="1" applyBorder="1"/>
    <xf numFmtId="0" fontId="6" fillId="0" borderId="1" xfId="0" applyFont="1" applyBorder="1"/>
    <xf numFmtId="0" fontId="22" fillId="0" borderId="0" xfId="2" applyFont="1"/>
    <xf numFmtId="0" fontId="23" fillId="0" borderId="0" xfId="2" applyFont="1"/>
    <xf numFmtId="0" fontId="24" fillId="0" borderId="0" xfId="2" applyFont="1"/>
    <xf numFmtId="0" fontId="25" fillId="0" borderId="0" xfId="2" applyFont="1"/>
    <xf numFmtId="0" fontId="27" fillId="0" borderId="0" xfId="2" applyFont="1"/>
    <xf numFmtId="0" fontId="17" fillId="0" borderId="0" xfId="0" applyFont="1"/>
    <xf numFmtId="0" fontId="19" fillId="0" borderId="0" xfId="0" applyFont="1"/>
    <xf numFmtId="0" fontId="6" fillId="0" borderId="3" xfId="0" applyFont="1" applyBorder="1"/>
    <xf numFmtId="0" fontId="23" fillId="3" borderId="0" xfId="2" applyFont="1" applyFill="1"/>
    <xf numFmtId="0" fontId="22" fillId="3" borderId="0" xfId="2" applyFont="1" applyFill="1"/>
    <xf numFmtId="14" fontId="22" fillId="3" borderId="0" xfId="2" applyNumberFormat="1" applyFont="1" applyFill="1" applyAlignment="1">
      <alignment horizontal="center"/>
    </xf>
    <xf numFmtId="0" fontId="25" fillId="3" borderId="0" xfId="2" applyFont="1" applyFill="1"/>
    <xf numFmtId="0" fontId="6" fillId="0" borderId="1" xfId="0" applyFont="1" applyBorder="1" applyAlignment="1">
      <alignment horizontal="center"/>
    </xf>
    <xf numFmtId="0" fontId="6" fillId="0" borderId="0" xfId="0" applyFont="1" applyAlignment="1">
      <alignment horizontal="center"/>
    </xf>
    <xf numFmtId="0" fontId="28" fillId="0" borderId="0" xfId="0" applyFont="1"/>
    <xf numFmtId="0" fontId="29" fillId="0" borderId="0" xfId="0" applyFont="1"/>
    <xf numFmtId="0" fontId="6" fillId="3" borderId="0" xfId="2" applyFont="1" applyFill="1"/>
    <xf numFmtId="0" fontId="30" fillId="3" borderId="0" xfId="2" applyFont="1" applyFill="1"/>
    <xf numFmtId="0" fontId="30" fillId="3" borderId="0" xfId="2" applyFont="1" applyFill="1" applyAlignment="1">
      <alignment horizontal="center"/>
    </xf>
    <xf numFmtId="164" fontId="30" fillId="3" borderId="0" xfId="2" applyNumberFormat="1" applyFont="1" applyFill="1" applyAlignment="1">
      <alignment horizontal="center"/>
    </xf>
    <xf numFmtId="2" fontId="30" fillId="3" borderId="0" xfId="2" applyNumberFormat="1" applyFont="1" applyFill="1" applyAlignment="1">
      <alignment horizontal="center"/>
    </xf>
    <xf numFmtId="0" fontId="24" fillId="3" borderId="0" xfId="2" applyFont="1" applyFill="1" applyAlignment="1">
      <alignment horizontal="center"/>
    </xf>
    <xf numFmtId="0" fontId="31" fillId="3" borderId="0" xfId="2" applyFont="1" applyFill="1" applyAlignment="1">
      <alignment horizontal="center"/>
    </xf>
    <xf numFmtId="0" fontId="5" fillId="3" borderId="0" xfId="0" applyFont="1" applyFill="1"/>
    <xf numFmtId="164" fontId="22" fillId="3" borderId="0" xfId="2" applyNumberFormat="1" applyFont="1" applyFill="1" applyAlignment="1">
      <alignment horizontal="center"/>
    </xf>
    <xf numFmtId="14" fontId="22" fillId="3" borderId="0" xfId="2" applyNumberFormat="1" applyFont="1" applyFill="1"/>
    <xf numFmtId="0" fontId="22" fillId="3" borderId="0" xfId="2" applyFont="1" applyFill="1" applyAlignment="1">
      <alignment horizontal="center"/>
    </xf>
    <xf numFmtId="0" fontId="22" fillId="0" borderId="0" xfId="2" applyFont="1" applyAlignment="1">
      <alignment horizontal="center"/>
    </xf>
    <xf numFmtId="164" fontId="22" fillId="0" borderId="0" xfId="2" applyNumberFormat="1" applyFont="1" applyAlignment="1">
      <alignment horizontal="center"/>
    </xf>
    <xf numFmtId="2" fontId="22" fillId="0" borderId="0" xfId="2" applyNumberFormat="1" applyFont="1" applyAlignment="1">
      <alignment horizontal="center"/>
    </xf>
    <xf numFmtId="164" fontId="22" fillId="0" borderId="0" xfId="2" applyNumberFormat="1" applyFont="1"/>
    <xf numFmtId="1" fontId="22" fillId="0" borderId="0" xfId="2" applyNumberFormat="1" applyFont="1" applyAlignment="1">
      <alignment horizontal="center"/>
    </xf>
    <xf numFmtId="0" fontId="6" fillId="3" borderId="0" xfId="0" applyFont="1" applyFill="1"/>
    <xf numFmtId="0" fontId="31" fillId="3" borderId="0" xfId="0" applyFont="1" applyFill="1" applyAlignment="1">
      <alignment horizontal="center"/>
    </xf>
    <xf numFmtId="0" fontId="5" fillId="3" borderId="0" xfId="0" applyFont="1" applyFill="1" applyAlignment="1">
      <alignment horizontal="center"/>
    </xf>
    <xf numFmtId="0" fontId="6" fillId="3" borderId="0" xfId="0" applyFont="1" applyFill="1" applyAlignment="1">
      <alignment horizontal="center"/>
    </xf>
    <xf numFmtId="0" fontId="32" fillId="7" borderId="1" xfId="3" applyFont="1" applyFill="1" applyBorder="1"/>
    <xf numFmtId="0" fontId="33" fillId="3" borderId="0" xfId="0" applyFont="1" applyFill="1"/>
    <xf numFmtId="0" fontId="33" fillId="0" borderId="0" xfId="0" applyFont="1"/>
    <xf numFmtId="14" fontId="22" fillId="0" borderId="1" xfId="2" applyNumberFormat="1" applyFont="1" applyBorder="1"/>
    <xf numFmtId="167" fontId="22" fillId="0" borderId="1" xfId="4" applyNumberFormat="1" applyFont="1" applyBorder="1"/>
    <xf numFmtId="14" fontId="22" fillId="0" borderId="0" xfId="2" applyNumberFormat="1" applyFont="1"/>
    <xf numFmtId="167" fontId="22" fillId="0" borderId="0" xfId="4" applyNumberFormat="1" applyFont="1"/>
    <xf numFmtId="0" fontId="22" fillId="0" borderId="0" xfId="0" applyFont="1" applyAlignment="1">
      <alignment vertical="center" wrapText="1"/>
    </xf>
    <xf numFmtId="0" fontId="34" fillId="0" borderId="0" xfId="0" applyFont="1"/>
    <xf numFmtId="0" fontId="35" fillId="0" borderId="0" xfId="0" applyFont="1"/>
    <xf numFmtId="168" fontId="6" fillId="0" borderId="0" xfId="0" applyNumberFormat="1" applyFont="1"/>
    <xf numFmtId="0" fontId="32" fillId="7" borderId="1" xfId="3" applyFont="1" applyFill="1" applyBorder="1" applyAlignment="1">
      <alignment horizontal="center"/>
    </xf>
    <xf numFmtId="167" fontId="32" fillId="7" borderId="1" xfId="3" applyNumberFormat="1" applyFont="1" applyFill="1" applyBorder="1" applyAlignment="1">
      <alignment horizontal="center"/>
    </xf>
    <xf numFmtId="0" fontId="22" fillId="0" borderId="1" xfId="2" applyFont="1" applyBorder="1" applyAlignment="1">
      <alignment horizontal="center"/>
    </xf>
    <xf numFmtId="0" fontId="22" fillId="0" borderId="3" xfId="2" applyFont="1" applyBorder="1" applyAlignment="1">
      <alignment horizontal="center"/>
    </xf>
    <xf numFmtId="0" fontId="22" fillId="0" borderId="3" xfId="2" applyFont="1" applyBorder="1"/>
    <xf numFmtId="14" fontId="22" fillId="0" borderId="3" xfId="2" applyNumberFormat="1" applyFont="1" applyBorder="1"/>
    <xf numFmtId="167" fontId="22" fillId="0" borderId="3" xfId="4" applyNumberFormat="1" applyFont="1" applyBorder="1"/>
    <xf numFmtId="0" fontId="22" fillId="0" borderId="4" xfId="2" applyFont="1" applyBorder="1"/>
    <xf numFmtId="14" fontId="22" fillId="0" borderId="4" xfId="2" applyNumberFormat="1" applyFont="1" applyBorder="1"/>
    <xf numFmtId="167" fontId="22" fillId="0" borderId="4" xfId="4" applyNumberFormat="1" applyFont="1" applyBorder="1"/>
    <xf numFmtId="0" fontId="6" fillId="0" borderId="0" xfId="2" applyFont="1"/>
    <xf numFmtId="0" fontId="6" fillId="4" borderId="1" xfId="0" applyFont="1" applyFill="1" applyBorder="1"/>
    <xf numFmtId="0" fontId="5" fillId="3" borderId="0" xfId="0" applyFont="1" applyFill="1" applyAlignment="1">
      <alignment horizontal="left"/>
    </xf>
    <xf numFmtId="0" fontId="32" fillId="5" borderId="1" xfId="0" applyFont="1" applyFill="1" applyBorder="1" applyAlignment="1">
      <alignment horizontal="left"/>
    </xf>
    <xf numFmtId="0" fontId="32" fillId="5" borderId="5" xfId="0" applyFont="1" applyFill="1" applyBorder="1" applyAlignment="1">
      <alignment horizontal="left"/>
    </xf>
    <xf numFmtId="0" fontId="32" fillId="0" borderId="0" xfId="0" applyFont="1" applyAlignment="1">
      <alignment horizontal="left"/>
    </xf>
    <xf numFmtId="0" fontId="6" fillId="4" borderId="5" xfId="0" applyFont="1" applyFill="1" applyBorder="1"/>
    <xf numFmtId="0" fontId="32" fillId="5" borderId="1" xfId="0" applyFont="1" applyFill="1" applyBorder="1" applyAlignment="1">
      <alignment horizontal="center"/>
    </xf>
    <xf numFmtId="0" fontId="36" fillId="0" borderId="0" xfId="0" applyFont="1" applyAlignment="1">
      <alignment horizontal="left" vertical="center" wrapText="1" indent="1"/>
    </xf>
  </cellXfs>
  <cellStyles count="5">
    <cellStyle name="Normal" xfId="0" builtinId="0"/>
    <cellStyle name="Normal 2" xfId="2" xr:uid="{00000000-0005-0000-0000-000001000000}"/>
    <cellStyle name="Normal 3" xfId="3" xr:uid="{00000000-0005-0000-0000-000002000000}"/>
    <cellStyle name="Normal 5" xfId="4" xr:uid="{00000000-0005-0000-0000-000003000000}"/>
    <cellStyle name="Percent" xfId="1" builtinId="5"/>
  </cellStyles>
  <dxfs count="26">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9"/>
      </font>
    </dxf>
    <dxf>
      <font>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161925</xdr:colOff>
      <xdr:row>26</xdr:row>
      <xdr:rowOff>28575</xdr:rowOff>
    </xdr:from>
    <xdr:to>
      <xdr:col>1</xdr:col>
      <xdr:colOff>862965</xdr:colOff>
      <xdr:row>31</xdr:row>
      <xdr:rowOff>171450</xdr:rowOff>
    </xdr:to>
    <xdr:pic>
      <xdr:nvPicPr>
        <xdr:cNvPr id="2" name="Picture 2" descr="Click Text to Columns on the Data tab.">
          <a:extLst>
            <a:ext uri="{FF2B5EF4-FFF2-40B4-BE49-F238E27FC236}">
              <a16:creationId xmlns:a16="http://schemas.microsoft.com/office/drawing/2014/main" id="{760EFF43-FA1C-45E1-BCF9-5E5836CCCBB1}"/>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1925" y="4813935"/>
          <a:ext cx="2987040" cy="1057275"/>
        </a:xfrm>
        <a:prstGeom prst="rect">
          <a:avLst/>
        </a:prstGeom>
        <a:noFill/>
      </xdr:spPr>
    </xdr:pic>
    <xdr:clientData/>
  </xdr:twoCellAnchor>
  <xdr:twoCellAnchor editAs="oneCell">
    <xdr:from>
      <xdr:col>0</xdr:col>
      <xdr:colOff>19050</xdr:colOff>
      <xdr:row>35</xdr:row>
      <xdr:rowOff>19050</xdr:rowOff>
    </xdr:from>
    <xdr:to>
      <xdr:col>3</xdr:col>
      <xdr:colOff>377177</xdr:colOff>
      <xdr:row>55</xdr:row>
      <xdr:rowOff>76740</xdr:rowOff>
    </xdr:to>
    <xdr:pic>
      <xdr:nvPicPr>
        <xdr:cNvPr id="3" name="Picture 2" descr="text to column.PNG">
          <a:extLst>
            <a:ext uri="{FF2B5EF4-FFF2-40B4-BE49-F238E27FC236}">
              <a16:creationId xmlns:a16="http://schemas.microsoft.com/office/drawing/2014/main" id="{50834371-EC82-4711-8B23-1AB95D325D17}"/>
            </a:ext>
          </a:extLst>
        </xdr:cNvPr>
        <xdr:cNvPicPr>
          <a:picLocks noChangeAspect="1"/>
        </xdr:cNvPicPr>
      </xdr:nvPicPr>
      <xdr:blipFill>
        <a:blip xmlns:r="http://schemas.openxmlformats.org/officeDocument/2006/relationships" r:embed="rId2" cstate="print"/>
        <a:stretch>
          <a:fillRect/>
        </a:stretch>
      </xdr:blipFill>
      <xdr:spPr>
        <a:xfrm>
          <a:off x="19050" y="6450330"/>
          <a:ext cx="5119433" cy="3715290"/>
        </a:xfrm>
        <a:prstGeom prst="rect">
          <a:avLst/>
        </a:prstGeom>
      </xdr:spPr>
    </xdr:pic>
    <xdr:clientData/>
  </xdr:twoCellAnchor>
  <xdr:twoCellAnchor editAs="oneCell">
    <xdr:from>
      <xdr:col>0</xdr:col>
      <xdr:colOff>0</xdr:colOff>
      <xdr:row>57</xdr:row>
      <xdr:rowOff>85725</xdr:rowOff>
    </xdr:from>
    <xdr:to>
      <xdr:col>3</xdr:col>
      <xdr:colOff>367654</xdr:colOff>
      <xdr:row>77</xdr:row>
      <xdr:rowOff>143415</xdr:rowOff>
    </xdr:to>
    <xdr:pic>
      <xdr:nvPicPr>
        <xdr:cNvPr id="4" name="Picture 3" descr="Capture 2.PNG">
          <a:extLst>
            <a:ext uri="{FF2B5EF4-FFF2-40B4-BE49-F238E27FC236}">
              <a16:creationId xmlns:a16="http://schemas.microsoft.com/office/drawing/2014/main" id="{C6EEFD8B-0EEE-45F9-8BB8-F40095F7EFBE}"/>
            </a:ext>
          </a:extLst>
        </xdr:cNvPr>
        <xdr:cNvPicPr>
          <a:picLocks noChangeAspect="1"/>
        </xdr:cNvPicPr>
      </xdr:nvPicPr>
      <xdr:blipFill>
        <a:blip xmlns:r="http://schemas.openxmlformats.org/officeDocument/2006/relationships" r:embed="rId3" cstate="print"/>
        <a:stretch>
          <a:fillRect/>
        </a:stretch>
      </xdr:blipFill>
      <xdr:spPr>
        <a:xfrm>
          <a:off x="0" y="10540365"/>
          <a:ext cx="5128960" cy="3715290"/>
        </a:xfrm>
        <a:prstGeom prst="rect">
          <a:avLst/>
        </a:prstGeom>
      </xdr:spPr>
    </xdr:pic>
    <xdr:clientData/>
  </xdr:twoCellAnchor>
  <xdr:twoCellAnchor editAs="oneCell">
    <xdr:from>
      <xdr:col>0</xdr:col>
      <xdr:colOff>28575</xdr:colOff>
      <xdr:row>81</xdr:row>
      <xdr:rowOff>85725</xdr:rowOff>
    </xdr:from>
    <xdr:to>
      <xdr:col>2</xdr:col>
      <xdr:colOff>591079</xdr:colOff>
      <xdr:row>92</xdr:row>
      <xdr:rowOff>124123</xdr:rowOff>
    </xdr:to>
    <xdr:pic>
      <xdr:nvPicPr>
        <xdr:cNvPr id="5" name="Picture 4" descr="Capture 3.PNG">
          <a:extLst>
            <a:ext uri="{FF2B5EF4-FFF2-40B4-BE49-F238E27FC236}">
              <a16:creationId xmlns:a16="http://schemas.microsoft.com/office/drawing/2014/main" id="{3DE02358-D054-4DB2-9FE5-B726A3AE4E25}"/>
            </a:ext>
          </a:extLst>
        </xdr:cNvPr>
        <xdr:cNvPicPr>
          <a:picLocks noChangeAspect="1"/>
        </xdr:cNvPicPr>
      </xdr:nvPicPr>
      <xdr:blipFill>
        <a:blip xmlns:r="http://schemas.openxmlformats.org/officeDocument/2006/relationships" r:embed="rId4" cstate="print"/>
        <a:stretch>
          <a:fillRect/>
        </a:stretch>
      </xdr:blipFill>
      <xdr:spPr>
        <a:xfrm>
          <a:off x="28575" y="14929485"/>
          <a:ext cx="3854344" cy="2050078"/>
        </a:xfrm>
        <a:prstGeom prst="rect">
          <a:avLst/>
        </a:prstGeom>
      </xdr:spPr>
    </xdr:pic>
    <xdr:clientData/>
  </xdr:twoCellAnchor>
  <xdr:twoCellAnchor editAs="oneCell">
    <xdr:from>
      <xdr:col>0</xdr:col>
      <xdr:colOff>0</xdr:colOff>
      <xdr:row>114</xdr:row>
      <xdr:rowOff>76200</xdr:rowOff>
    </xdr:from>
    <xdr:to>
      <xdr:col>3</xdr:col>
      <xdr:colOff>281917</xdr:colOff>
      <xdr:row>134</xdr:row>
      <xdr:rowOff>76732</xdr:rowOff>
    </xdr:to>
    <xdr:pic>
      <xdr:nvPicPr>
        <xdr:cNvPr id="6" name="Picture 5" descr="Capture 4.PNG">
          <a:extLst>
            <a:ext uri="{FF2B5EF4-FFF2-40B4-BE49-F238E27FC236}">
              <a16:creationId xmlns:a16="http://schemas.microsoft.com/office/drawing/2014/main" id="{B618CEA8-55E8-4E93-995F-D6D7BC993AC3}"/>
            </a:ext>
          </a:extLst>
        </xdr:cNvPr>
        <xdr:cNvPicPr>
          <a:picLocks noChangeAspect="1"/>
        </xdr:cNvPicPr>
      </xdr:nvPicPr>
      <xdr:blipFill>
        <a:blip xmlns:r="http://schemas.openxmlformats.org/officeDocument/2006/relationships" r:embed="rId5" cstate="print"/>
        <a:stretch>
          <a:fillRect/>
        </a:stretch>
      </xdr:blipFill>
      <xdr:spPr>
        <a:xfrm>
          <a:off x="0" y="20955000"/>
          <a:ext cx="5043223" cy="3658132"/>
        </a:xfrm>
        <a:prstGeom prst="rect">
          <a:avLst/>
        </a:prstGeom>
      </xdr:spPr>
    </xdr:pic>
    <xdr:clientData/>
  </xdr:twoCellAnchor>
  <xdr:twoCellAnchor editAs="oneCell">
    <xdr:from>
      <xdr:col>0</xdr:col>
      <xdr:colOff>0</xdr:colOff>
      <xdr:row>137</xdr:row>
      <xdr:rowOff>114300</xdr:rowOff>
    </xdr:from>
    <xdr:to>
      <xdr:col>3</xdr:col>
      <xdr:colOff>329548</xdr:colOff>
      <xdr:row>157</xdr:row>
      <xdr:rowOff>38621</xdr:rowOff>
    </xdr:to>
    <xdr:pic>
      <xdr:nvPicPr>
        <xdr:cNvPr id="7" name="Picture 6" descr="Capture 5.PNG">
          <a:extLst>
            <a:ext uri="{FF2B5EF4-FFF2-40B4-BE49-F238E27FC236}">
              <a16:creationId xmlns:a16="http://schemas.microsoft.com/office/drawing/2014/main" id="{56A8FA09-F337-4558-8A47-6CAE9BAE2CEF}"/>
            </a:ext>
          </a:extLst>
        </xdr:cNvPr>
        <xdr:cNvPicPr>
          <a:picLocks noChangeAspect="1"/>
        </xdr:cNvPicPr>
      </xdr:nvPicPr>
      <xdr:blipFill>
        <a:blip xmlns:r="http://schemas.openxmlformats.org/officeDocument/2006/relationships" r:embed="rId6" cstate="print"/>
        <a:stretch>
          <a:fillRect/>
        </a:stretch>
      </xdr:blipFill>
      <xdr:spPr>
        <a:xfrm>
          <a:off x="0" y="25199340"/>
          <a:ext cx="5090854" cy="3581921"/>
        </a:xfrm>
        <a:prstGeom prst="rect">
          <a:avLst/>
        </a:prstGeom>
      </xdr:spPr>
    </xdr:pic>
    <xdr:clientData/>
  </xdr:twoCellAnchor>
  <xdr:twoCellAnchor editAs="oneCell">
    <xdr:from>
      <xdr:col>0</xdr:col>
      <xdr:colOff>0</xdr:colOff>
      <xdr:row>161</xdr:row>
      <xdr:rowOff>0</xdr:rowOff>
    </xdr:from>
    <xdr:to>
      <xdr:col>3</xdr:col>
      <xdr:colOff>339075</xdr:colOff>
      <xdr:row>180</xdr:row>
      <xdr:rowOff>133874</xdr:rowOff>
    </xdr:to>
    <xdr:pic>
      <xdr:nvPicPr>
        <xdr:cNvPr id="8" name="Picture 7" descr="Capture 6.PNG">
          <a:extLst>
            <a:ext uri="{FF2B5EF4-FFF2-40B4-BE49-F238E27FC236}">
              <a16:creationId xmlns:a16="http://schemas.microsoft.com/office/drawing/2014/main" id="{A1D75E09-84BD-482E-8184-9F703CA0F96E}"/>
            </a:ext>
          </a:extLst>
        </xdr:cNvPr>
        <xdr:cNvPicPr>
          <a:picLocks noChangeAspect="1"/>
        </xdr:cNvPicPr>
      </xdr:nvPicPr>
      <xdr:blipFill>
        <a:blip xmlns:r="http://schemas.openxmlformats.org/officeDocument/2006/relationships" r:embed="rId7" cstate="print"/>
        <a:stretch>
          <a:fillRect/>
        </a:stretch>
      </xdr:blipFill>
      <xdr:spPr>
        <a:xfrm>
          <a:off x="0" y="29474160"/>
          <a:ext cx="5100381" cy="3608594"/>
        </a:xfrm>
        <a:prstGeom prst="rect">
          <a:avLst/>
        </a:prstGeom>
      </xdr:spPr>
    </xdr:pic>
    <xdr:clientData/>
  </xdr:twoCellAnchor>
  <xdr:twoCellAnchor editAs="oneCell">
    <xdr:from>
      <xdr:col>0</xdr:col>
      <xdr:colOff>0</xdr:colOff>
      <xdr:row>184</xdr:row>
      <xdr:rowOff>76200</xdr:rowOff>
    </xdr:from>
    <xdr:to>
      <xdr:col>0</xdr:col>
      <xdr:colOff>2034819</xdr:colOff>
      <xdr:row>192</xdr:row>
      <xdr:rowOff>57360</xdr:rowOff>
    </xdr:to>
    <xdr:pic>
      <xdr:nvPicPr>
        <xdr:cNvPr id="9" name="Picture 8" descr="Capture 7.PNG">
          <a:extLst>
            <a:ext uri="{FF2B5EF4-FFF2-40B4-BE49-F238E27FC236}">
              <a16:creationId xmlns:a16="http://schemas.microsoft.com/office/drawing/2014/main" id="{57C8E0B3-F91E-477F-A1EA-9B707DB8EAD3}"/>
            </a:ext>
          </a:extLst>
        </xdr:cNvPr>
        <xdr:cNvPicPr>
          <a:picLocks noChangeAspect="1"/>
        </xdr:cNvPicPr>
      </xdr:nvPicPr>
      <xdr:blipFill>
        <a:blip xmlns:r="http://schemas.openxmlformats.org/officeDocument/2006/relationships" r:embed="rId8" cstate="print"/>
        <a:stretch>
          <a:fillRect/>
        </a:stretch>
      </xdr:blipFill>
      <xdr:spPr>
        <a:xfrm>
          <a:off x="0" y="33756600"/>
          <a:ext cx="2034819" cy="14442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welcome/Downloads/FMC%20Module%202_part%20B(revised)%20v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khilesh/Downloads/FMC%20Module%202_part%20B.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welcome/AppData/Roaming/Microsoft/Excel/FMC%20Module%202_part%20B.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Rupali/Downloads/FMC%20Module%202_part%20B(revis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OFFSET"/>
      <sheetName val="Name Ranges"/>
      <sheetName val="Dynamic Name range"/>
      <sheetName val="Data Validation"/>
      <sheetName val="Indirect"/>
      <sheetName val="Sales"/>
      <sheetName val="Exercise"/>
      <sheetName val="Home Assignment"/>
      <sheetName val="Disclaimer"/>
    </sheetNames>
    <sheetDataSet>
      <sheetData sheetId="0"/>
      <sheetData sheetId="1">
        <row r="1">
          <cell r="A1" t="str">
            <v>OFFSET</v>
          </cell>
        </row>
        <row r="23">
          <cell r="D23">
            <v>7306</v>
          </cell>
        </row>
        <row r="24">
          <cell r="D24">
            <v>6402</v>
          </cell>
        </row>
        <row r="25">
          <cell r="D25">
            <v>1012.95</v>
          </cell>
        </row>
        <row r="26">
          <cell r="D26">
            <v>545</v>
          </cell>
        </row>
        <row r="27">
          <cell r="D27">
            <v>1736</v>
          </cell>
        </row>
        <row r="28">
          <cell r="D28">
            <v>2833</v>
          </cell>
        </row>
        <row r="29">
          <cell r="D29">
            <v>1249.9000000000001</v>
          </cell>
        </row>
        <row r="30">
          <cell r="D30">
            <v>1350</v>
          </cell>
        </row>
        <row r="31">
          <cell r="D31">
            <v>1979</v>
          </cell>
        </row>
        <row r="32">
          <cell r="D32">
            <v>61.3</v>
          </cell>
        </row>
        <row r="33">
          <cell r="D33">
            <v>173.9</v>
          </cell>
        </row>
        <row r="34">
          <cell r="D34">
            <v>597</v>
          </cell>
        </row>
        <row r="35">
          <cell r="D35">
            <v>766</v>
          </cell>
        </row>
        <row r="36">
          <cell r="D36">
            <v>563.4</v>
          </cell>
        </row>
        <row r="37">
          <cell r="D37">
            <v>1800</v>
          </cell>
        </row>
        <row r="38">
          <cell r="D38">
            <v>135.1</v>
          </cell>
        </row>
        <row r="39">
          <cell r="D39">
            <v>306.8</v>
          </cell>
        </row>
        <row r="40">
          <cell r="D40">
            <v>485.15</v>
          </cell>
        </row>
        <row r="41">
          <cell r="D41">
            <v>341</v>
          </cell>
        </row>
      </sheetData>
      <sheetData sheetId="2">
        <row r="9">
          <cell r="B9" t="str">
            <v>Product</v>
          </cell>
          <cell r="C9" t="str">
            <v>Category</v>
          </cell>
          <cell r="D9" t="str">
            <v>Amount</v>
          </cell>
        </row>
        <row r="10">
          <cell r="B10" t="str">
            <v>Carrots</v>
          </cell>
          <cell r="C10" t="str">
            <v>Vegetables</v>
          </cell>
          <cell r="D10">
            <v>4270</v>
          </cell>
        </row>
        <row r="11">
          <cell r="B11" t="str">
            <v>Broccoli</v>
          </cell>
          <cell r="C11" t="str">
            <v>Vegetables</v>
          </cell>
          <cell r="D11">
            <v>8239</v>
          </cell>
        </row>
        <row r="12">
          <cell r="B12" t="str">
            <v>Banana</v>
          </cell>
          <cell r="C12" t="str">
            <v>Fruit</v>
          </cell>
          <cell r="D12">
            <v>617</v>
          </cell>
        </row>
        <row r="13">
          <cell r="B13" t="str">
            <v>Banana</v>
          </cell>
          <cell r="C13" t="str">
            <v>Fruit</v>
          </cell>
          <cell r="D13">
            <v>8384</v>
          </cell>
        </row>
        <row r="14">
          <cell r="B14" t="str">
            <v>Beans</v>
          </cell>
          <cell r="C14" t="str">
            <v>Vegetables</v>
          </cell>
          <cell r="D14">
            <v>2626</v>
          </cell>
        </row>
        <row r="15">
          <cell r="B15" t="str">
            <v>Orange</v>
          </cell>
          <cell r="C15" t="str">
            <v>Fruit</v>
          </cell>
          <cell r="D15">
            <v>3610</v>
          </cell>
        </row>
        <row r="16">
          <cell r="B16" t="str">
            <v>Broccoli</v>
          </cell>
          <cell r="C16" t="str">
            <v>Vegetables</v>
          </cell>
          <cell r="D16">
            <v>9062</v>
          </cell>
        </row>
        <row r="17">
          <cell r="B17" t="str">
            <v>Banana</v>
          </cell>
          <cell r="C17" t="str">
            <v>Fruit</v>
          </cell>
          <cell r="D17">
            <v>6906</v>
          </cell>
        </row>
        <row r="18">
          <cell r="B18" t="str">
            <v>Apple</v>
          </cell>
          <cell r="C18" t="str">
            <v>Fruit</v>
          </cell>
          <cell r="D18">
            <v>2417</v>
          </cell>
        </row>
        <row r="19">
          <cell r="B19" t="str">
            <v>Apple</v>
          </cell>
          <cell r="C19" t="str">
            <v>Fruit</v>
          </cell>
          <cell r="D19">
            <v>7431</v>
          </cell>
        </row>
        <row r="20">
          <cell r="B20" t="str">
            <v>Banana</v>
          </cell>
          <cell r="C20" t="str">
            <v>Fruit</v>
          </cell>
          <cell r="D20">
            <v>8250</v>
          </cell>
        </row>
        <row r="21">
          <cell r="B21" t="str">
            <v>Broccoli</v>
          </cell>
          <cell r="C21" t="str">
            <v>Vegetables</v>
          </cell>
          <cell r="D21">
            <v>7012</v>
          </cell>
        </row>
        <row r="22">
          <cell r="B22" t="str">
            <v>Carrots</v>
          </cell>
          <cell r="C22" t="str">
            <v>Vegetables</v>
          </cell>
          <cell r="D22">
            <v>1903</v>
          </cell>
        </row>
        <row r="23">
          <cell r="B23" t="str">
            <v>Broccoli</v>
          </cell>
          <cell r="C23" t="str">
            <v>Vegetables</v>
          </cell>
          <cell r="D23">
            <v>2824</v>
          </cell>
        </row>
        <row r="24">
          <cell r="B24" t="str">
            <v>Apple</v>
          </cell>
          <cell r="C24" t="str">
            <v>Fruit</v>
          </cell>
          <cell r="D24">
            <v>6946</v>
          </cell>
        </row>
        <row r="25">
          <cell r="B25" t="str">
            <v>Banana</v>
          </cell>
          <cell r="C25" t="str">
            <v>Fruit</v>
          </cell>
          <cell r="D25">
            <v>2320</v>
          </cell>
        </row>
        <row r="26">
          <cell r="B26" t="str">
            <v>Banana</v>
          </cell>
          <cell r="C26" t="str">
            <v>Fruit</v>
          </cell>
          <cell r="D26">
            <v>2116</v>
          </cell>
        </row>
        <row r="27">
          <cell r="B27" t="str">
            <v>Banana</v>
          </cell>
          <cell r="C27" t="str">
            <v>Fruit</v>
          </cell>
          <cell r="D27">
            <v>1135</v>
          </cell>
        </row>
        <row r="28">
          <cell r="B28" t="str">
            <v>Broccoli</v>
          </cell>
          <cell r="C28" t="str">
            <v>Vegetables</v>
          </cell>
          <cell r="D28">
            <v>3595</v>
          </cell>
        </row>
        <row r="29">
          <cell r="B29" t="str">
            <v>Apple</v>
          </cell>
          <cell r="C29" t="str">
            <v>Fruit</v>
          </cell>
          <cell r="D29">
            <v>1161</v>
          </cell>
        </row>
      </sheetData>
      <sheetData sheetId="3">
        <row r="27">
          <cell r="D27" t="str">
            <v>Amount</v>
          </cell>
        </row>
        <row r="28">
          <cell r="D28">
            <v>4270</v>
          </cell>
        </row>
        <row r="29">
          <cell r="D29">
            <v>8239</v>
          </cell>
        </row>
        <row r="30">
          <cell r="D30">
            <v>617</v>
          </cell>
        </row>
        <row r="31">
          <cell r="D31">
            <v>8384</v>
          </cell>
        </row>
        <row r="32">
          <cell r="D32">
            <v>2626</v>
          </cell>
        </row>
        <row r="33">
          <cell r="D33">
            <v>3610</v>
          </cell>
        </row>
        <row r="34">
          <cell r="D34">
            <v>9062</v>
          </cell>
        </row>
        <row r="35">
          <cell r="D35">
            <v>6906</v>
          </cell>
        </row>
        <row r="36">
          <cell r="D36">
            <v>2417</v>
          </cell>
        </row>
        <row r="37">
          <cell r="D37">
            <v>7431</v>
          </cell>
        </row>
        <row r="38">
          <cell r="D38">
            <v>8250</v>
          </cell>
        </row>
        <row r="39">
          <cell r="D39">
            <v>7012</v>
          </cell>
        </row>
        <row r="40">
          <cell r="D40">
            <v>1903</v>
          </cell>
        </row>
        <row r="41">
          <cell r="D41">
            <v>2824</v>
          </cell>
        </row>
        <row r="42">
          <cell r="D42">
            <v>6946</v>
          </cell>
        </row>
        <row r="43">
          <cell r="D43">
            <v>2320</v>
          </cell>
        </row>
        <row r="44">
          <cell r="D44">
            <v>2116</v>
          </cell>
        </row>
        <row r="45">
          <cell r="D45">
            <v>1135</v>
          </cell>
        </row>
        <row r="46">
          <cell r="D46">
            <v>3595</v>
          </cell>
        </row>
        <row r="47">
          <cell r="D47">
            <v>1161</v>
          </cell>
        </row>
        <row r="48">
          <cell r="D48">
            <v>2000</v>
          </cell>
        </row>
        <row r="49">
          <cell r="D49">
            <v>3500</v>
          </cell>
        </row>
        <row r="55">
          <cell r="D55" t="str">
            <v>Total Value (Lacs)</v>
          </cell>
        </row>
        <row r="56">
          <cell r="C56">
            <v>9089221</v>
          </cell>
          <cell r="D56">
            <v>17980489</v>
          </cell>
        </row>
        <row r="57">
          <cell r="C57">
            <v>9760484</v>
          </cell>
          <cell r="D57">
            <v>17527363.18</v>
          </cell>
        </row>
        <row r="58">
          <cell r="C58">
            <v>10001727</v>
          </cell>
          <cell r="D58">
            <v>17994981.5</v>
          </cell>
        </row>
        <row r="59">
          <cell r="C59">
            <v>9663715</v>
          </cell>
          <cell r="D59">
            <v>17561070.640000001</v>
          </cell>
        </row>
        <row r="60">
          <cell r="C60">
            <v>8926485</v>
          </cell>
          <cell r="D60">
            <v>17852871.469999999</v>
          </cell>
        </row>
        <row r="61">
          <cell r="C61">
            <v>8627574</v>
          </cell>
          <cell r="D61">
            <v>16887946.420000002</v>
          </cell>
        </row>
        <row r="62">
          <cell r="C62">
            <v>8363392</v>
          </cell>
          <cell r="D62">
            <v>17470835.650000002</v>
          </cell>
        </row>
      </sheetData>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SubCategory"/>
      <sheetName val="OFFSET"/>
      <sheetName val="MATCH &amp; INDEX"/>
    </sheetNames>
    <sheetDataSet>
      <sheetData sheetId="0"/>
      <sheetData sheetId="1"/>
      <sheetData sheetId="2">
        <row r="5">
          <cell r="H5">
            <v>805004</v>
          </cell>
        </row>
        <row r="6">
          <cell r="H6">
            <v>674882</v>
          </cell>
        </row>
        <row r="7">
          <cell r="H7">
            <v>1646767</v>
          </cell>
        </row>
        <row r="8">
          <cell r="H8">
            <v>247924</v>
          </cell>
        </row>
        <row r="9">
          <cell r="H9">
            <v>402906</v>
          </cell>
        </row>
        <row r="10">
          <cell r="H10">
            <v>598973</v>
          </cell>
        </row>
        <row r="11">
          <cell r="H11">
            <v>1500406</v>
          </cell>
        </row>
        <row r="12">
          <cell r="H12">
            <v>415785</v>
          </cell>
        </row>
        <row r="13">
          <cell r="H13">
            <v>885334</v>
          </cell>
        </row>
        <row r="14">
          <cell r="H14">
            <v>1468816</v>
          </cell>
        </row>
        <row r="15">
          <cell r="H15">
            <v>669490</v>
          </cell>
        </row>
        <row r="16">
          <cell r="H16">
            <v>5687160</v>
          </cell>
        </row>
        <row r="17">
          <cell r="H17">
            <v>2522507</v>
          </cell>
        </row>
        <row r="18">
          <cell r="H18">
            <v>569666</v>
          </cell>
        </row>
        <row r="19">
          <cell r="H19">
            <v>45949</v>
          </cell>
        </row>
        <row r="20">
          <cell r="H20">
            <v>50236</v>
          </cell>
        </row>
        <row r="21">
          <cell r="H21">
            <v>384872</v>
          </cell>
        </row>
        <row r="22">
          <cell r="H22">
            <v>166076</v>
          </cell>
        </row>
        <row r="23">
          <cell r="H23">
            <v>1683176</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SubCategory"/>
      <sheetName val="OFFSET"/>
      <sheetName val="MATCH &amp; INDEX"/>
    </sheetNames>
    <sheetDataSet>
      <sheetData sheetId="0"/>
      <sheetData sheetId="1"/>
      <sheetData sheetId="2">
        <row r="5">
          <cell r="H5">
            <v>805004</v>
          </cell>
        </row>
        <row r="6">
          <cell r="H6">
            <v>674882</v>
          </cell>
        </row>
        <row r="7">
          <cell r="H7">
            <v>1646767</v>
          </cell>
        </row>
        <row r="8">
          <cell r="H8">
            <v>247924</v>
          </cell>
        </row>
        <row r="9">
          <cell r="H9">
            <v>402906</v>
          </cell>
        </row>
        <row r="10">
          <cell r="H10">
            <v>598973</v>
          </cell>
        </row>
        <row r="11">
          <cell r="H11">
            <v>1500406</v>
          </cell>
        </row>
        <row r="12">
          <cell r="H12">
            <v>415785</v>
          </cell>
        </row>
        <row r="13">
          <cell r="H13">
            <v>885334</v>
          </cell>
        </row>
        <row r="14">
          <cell r="H14">
            <v>1468816</v>
          </cell>
        </row>
        <row r="15">
          <cell r="H15">
            <v>669490</v>
          </cell>
        </row>
        <row r="16">
          <cell r="H16">
            <v>5687160</v>
          </cell>
        </row>
        <row r="17">
          <cell r="H17">
            <v>2522507</v>
          </cell>
        </row>
        <row r="18">
          <cell r="H18">
            <v>569666</v>
          </cell>
        </row>
        <row r="19">
          <cell r="H19">
            <v>45949</v>
          </cell>
        </row>
        <row r="20">
          <cell r="H20">
            <v>50236</v>
          </cell>
        </row>
        <row r="21">
          <cell r="H21">
            <v>384872</v>
          </cell>
        </row>
        <row r="22">
          <cell r="H22">
            <v>166076</v>
          </cell>
        </row>
        <row r="23">
          <cell r="H23">
            <v>1683176</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FFSET"/>
      <sheetName val="Name Ranges"/>
      <sheetName val="Dynamic Name range"/>
      <sheetName val="Data Validation"/>
      <sheetName val="Indirect"/>
      <sheetName val="Sales"/>
      <sheetName val="Exercise"/>
      <sheetName val="Home Assignment"/>
    </sheetNames>
    <sheetDataSet>
      <sheetData sheetId="0">
        <row r="1">
          <cell r="A1" t="str">
            <v>OFFSET</v>
          </cell>
        </row>
        <row r="2">
          <cell r="A2" t="str">
            <v>OFFSET function is used in those cases where data is dynamic and not static in nature.</v>
          </cell>
        </row>
        <row r="4">
          <cell r="A4" t="str">
            <v>Offset function return the value of a cell that is specified number of rows and columns away from a cell or range of cells that a user referenced in an adjacent range.</v>
          </cell>
        </row>
        <row r="6">
          <cell r="A6" t="str">
            <v>SYNTAX</v>
          </cell>
        </row>
        <row r="7">
          <cell r="A7" t="str">
            <v>OFFSET(reference, rows, cols,[height, width]</v>
          </cell>
        </row>
        <row r="9">
          <cell r="A9" t="str">
            <v>reference - The reference from which the user wants the base to offset.</v>
          </cell>
        </row>
        <row r="12">
          <cell r="A12" t="str">
            <v>rows - The number of rows, up or down, that the user wants to offset from the reference.</v>
          </cell>
        </row>
        <row r="13">
          <cell r="A13" t="str">
            <v xml:space="preserve">              It can be positive (below the origin) or negative (above the origin)</v>
          </cell>
        </row>
        <row r="15">
          <cell r="A15" t="str">
            <v>Cols - the number of columns that the user wants to offset from the reference point. Columns can be positive (to the right if the origin) or negative (to the left of the origin)</v>
          </cell>
        </row>
        <row r="17">
          <cell r="A17" t="str">
            <v>height- It can only be a positive number. The height in  number of rows that the user wants to returned the reference to be.</v>
          </cell>
        </row>
        <row r="19">
          <cell r="A19" t="str">
            <v>width- The width is in the number of columns that the user wants to returned the reference to be. It can only be a positive number.</v>
          </cell>
        </row>
        <row r="22">
          <cell r="A22" t="str">
            <v>Security Code</v>
          </cell>
          <cell r="B22" t="str">
            <v>Security Name</v>
          </cell>
          <cell r="C22" t="str">
            <v>Security Group</v>
          </cell>
          <cell r="D22" t="str">
            <v>Open</v>
          </cell>
          <cell r="E22" t="str">
            <v>High</v>
          </cell>
          <cell r="F22" t="str">
            <v>Low</v>
          </cell>
          <cell r="G22" t="str">
            <v>LTP</v>
          </cell>
          <cell r="H22" t="str">
            <v>No. of Shares Traded</v>
          </cell>
          <cell r="I22" t="str">
            <v>Total Turnover (Lac)</v>
          </cell>
          <cell r="J22" t="str">
            <v>No. of Trades</v>
          </cell>
        </row>
        <row r="23">
          <cell r="A23">
            <v>504084</v>
          </cell>
        </row>
        <row r="24">
          <cell r="A24">
            <v>500488</v>
          </cell>
        </row>
        <row r="25">
          <cell r="A25">
            <v>532830</v>
          </cell>
        </row>
        <row r="26">
          <cell r="A26">
            <v>505537</v>
          </cell>
        </row>
        <row r="27">
          <cell r="A27">
            <v>532540</v>
          </cell>
        </row>
        <row r="28">
          <cell r="A28">
            <v>500490</v>
          </cell>
        </row>
        <row r="29">
          <cell r="A29">
            <v>500209</v>
          </cell>
        </row>
        <row r="30">
          <cell r="A30">
            <v>532689</v>
          </cell>
        </row>
        <row r="31">
          <cell r="A31">
            <v>500124</v>
          </cell>
        </row>
        <row r="32">
          <cell r="A32">
            <v>500116</v>
          </cell>
        </row>
        <row r="33">
          <cell r="A33">
            <v>530965</v>
          </cell>
        </row>
        <row r="34">
          <cell r="A34">
            <v>500470</v>
          </cell>
        </row>
        <row r="35">
          <cell r="A35">
            <v>500257</v>
          </cell>
        </row>
        <row r="36">
          <cell r="A36">
            <v>535648</v>
          </cell>
        </row>
        <row r="37">
          <cell r="A37">
            <v>512573</v>
          </cell>
        </row>
        <row r="38">
          <cell r="A38">
            <v>534809</v>
          </cell>
        </row>
        <row r="39">
          <cell r="A39">
            <v>500570</v>
          </cell>
        </row>
        <row r="40">
          <cell r="A40">
            <v>524715</v>
          </cell>
        </row>
        <row r="41">
          <cell r="A41">
            <v>532531</v>
          </cell>
        </row>
        <row r="46">
          <cell r="A46" t="str">
            <v>TCS</v>
          </cell>
        </row>
        <row r="47">
          <cell r="A47" t="str">
            <v>TATASTEEL</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5"/>
  <sheetViews>
    <sheetView showGridLines="0" topLeftCell="F1" zoomScale="115" zoomScaleNormal="115" workbookViewId="0">
      <selection activeCell="D28" sqref="D28"/>
    </sheetView>
  </sheetViews>
  <sheetFormatPr defaultRowHeight="14.5"/>
  <cols>
    <col min="2" max="2" width="14.7265625" bestFit="1" customWidth="1"/>
    <col min="3" max="3" width="14.54296875" customWidth="1"/>
    <col min="4" max="4" width="14.453125" customWidth="1"/>
    <col min="5" max="5" width="17.26953125" customWidth="1"/>
    <col min="6" max="6" width="19.26953125" customWidth="1"/>
    <col min="7" max="7" width="12.54296875" customWidth="1"/>
    <col min="8" max="8" width="11.81640625" bestFit="1" customWidth="1"/>
    <col min="9" max="9" width="12.453125" bestFit="1" customWidth="1"/>
    <col min="10" max="10" width="12.81640625" bestFit="1" customWidth="1"/>
    <col min="11" max="11" width="12.1796875" bestFit="1" customWidth="1"/>
    <col min="12" max="12" width="16.26953125" bestFit="1" customWidth="1"/>
    <col min="13" max="13" width="13.1796875" bestFit="1" customWidth="1"/>
    <col min="14" max="14" width="13.453125" bestFit="1" customWidth="1"/>
    <col min="19" max="19" width="16.7265625" customWidth="1"/>
  </cols>
  <sheetData>
    <row r="1" spans="1:32" s="5" customFormat="1" ht="15.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1" t="s">
        <v>18</v>
      </c>
      <c r="T1" s="3"/>
      <c r="U1" s="4"/>
      <c r="V1" s="4"/>
      <c r="W1" s="3"/>
      <c r="X1" s="3"/>
      <c r="Y1" s="3"/>
      <c r="Z1" s="3"/>
      <c r="AA1" s="4"/>
      <c r="AB1" s="4"/>
      <c r="AC1" s="4"/>
      <c r="AD1" s="4"/>
      <c r="AE1" s="4"/>
      <c r="AF1" s="4" t="s">
        <v>19</v>
      </c>
    </row>
    <row r="2" spans="1:32">
      <c r="A2" s="6">
        <v>6047</v>
      </c>
      <c r="B2" s="6" t="s">
        <v>20</v>
      </c>
      <c r="C2" s="7">
        <v>42530</v>
      </c>
      <c r="D2" s="7">
        <v>42537</v>
      </c>
      <c r="E2" s="6" t="s">
        <v>21</v>
      </c>
      <c r="F2" s="6" t="s">
        <v>22</v>
      </c>
      <c r="G2" s="6" t="s">
        <v>23</v>
      </c>
      <c r="H2" s="6" t="s">
        <v>24</v>
      </c>
      <c r="I2" s="6" t="s">
        <v>25</v>
      </c>
      <c r="J2" s="6" t="s">
        <v>26</v>
      </c>
      <c r="K2" s="6">
        <v>55407</v>
      </c>
      <c r="L2" s="6" t="s">
        <v>27</v>
      </c>
      <c r="M2" s="6" t="s">
        <v>28</v>
      </c>
      <c r="N2" s="6" t="s">
        <v>29</v>
      </c>
      <c r="O2" s="6">
        <v>692.93999999999994</v>
      </c>
      <c r="P2" s="6">
        <v>3</v>
      </c>
      <c r="Q2" s="8">
        <v>0</v>
      </c>
      <c r="R2" s="6">
        <v>173.23500000000001</v>
      </c>
      <c r="S2" s="6" t="s">
        <v>30</v>
      </c>
      <c r="T2" s="9"/>
      <c r="U2" s="9"/>
      <c r="V2" s="9"/>
      <c r="W2" s="9"/>
      <c r="X2" s="9"/>
      <c r="Y2" s="9"/>
      <c r="Z2" s="9"/>
      <c r="AA2" s="9"/>
      <c r="AB2" s="9"/>
      <c r="AC2" s="9"/>
      <c r="AD2" s="9"/>
      <c r="AE2" s="9"/>
      <c r="AF2" s="10" t="str">
        <f t="shared" ref="AF2:AF25" si="0">IF(J2="Florida",IF(M2="Technology",IF(O2&gt;300,"A","B"),""),"")</f>
        <v/>
      </c>
    </row>
    <row r="3" spans="1:32">
      <c r="A3" s="6">
        <v>6046</v>
      </c>
      <c r="B3" s="6" t="s">
        <v>31</v>
      </c>
      <c r="C3" s="7">
        <v>42250</v>
      </c>
      <c r="D3" s="7">
        <v>42255</v>
      </c>
      <c r="E3" s="6" t="s">
        <v>21</v>
      </c>
      <c r="F3" s="6" t="s">
        <v>32</v>
      </c>
      <c r="G3" s="6" t="s">
        <v>33</v>
      </c>
      <c r="H3" s="6" t="s">
        <v>24</v>
      </c>
      <c r="I3" s="6" t="s">
        <v>34</v>
      </c>
      <c r="J3" s="6" t="s">
        <v>35</v>
      </c>
      <c r="K3" s="6">
        <v>85705</v>
      </c>
      <c r="L3" s="6" t="s">
        <v>36</v>
      </c>
      <c r="M3" s="6" t="s">
        <v>28</v>
      </c>
      <c r="N3" s="6" t="s">
        <v>37</v>
      </c>
      <c r="O3" s="6">
        <v>238.15200000000004</v>
      </c>
      <c r="P3" s="6">
        <v>3</v>
      </c>
      <c r="Q3" s="8">
        <v>0.2</v>
      </c>
      <c r="R3" s="6">
        <v>89.306999999999988</v>
      </c>
      <c r="S3" s="6" t="s">
        <v>38</v>
      </c>
      <c r="T3" s="9"/>
      <c r="U3" s="9"/>
      <c r="V3" s="9"/>
      <c r="W3" s="9"/>
      <c r="X3" s="9"/>
      <c r="Y3" s="9"/>
      <c r="Z3" s="9"/>
      <c r="AA3" s="9"/>
      <c r="AB3" s="9"/>
      <c r="AC3" s="9"/>
      <c r="AD3" s="9"/>
      <c r="AE3" s="9"/>
      <c r="AF3" s="10" t="str">
        <f t="shared" si="0"/>
        <v/>
      </c>
    </row>
    <row r="4" spans="1:32">
      <c r="A4" s="6">
        <v>6011</v>
      </c>
      <c r="B4" s="6" t="s">
        <v>39</v>
      </c>
      <c r="C4" s="7">
        <v>42368</v>
      </c>
      <c r="D4" s="7">
        <v>42372</v>
      </c>
      <c r="E4" s="6" t="s">
        <v>21</v>
      </c>
      <c r="F4" s="6" t="s">
        <v>40</v>
      </c>
      <c r="G4" s="6" t="s">
        <v>41</v>
      </c>
      <c r="H4" s="6" t="s">
        <v>24</v>
      </c>
      <c r="I4" s="6" t="s">
        <v>42</v>
      </c>
      <c r="J4" s="6" t="s">
        <v>43</v>
      </c>
      <c r="K4" s="6">
        <v>90049</v>
      </c>
      <c r="L4" s="6" t="s">
        <v>44</v>
      </c>
      <c r="M4" s="6" t="s">
        <v>45</v>
      </c>
      <c r="N4" s="6" t="s">
        <v>46</v>
      </c>
      <c r="O4" s="6">
        <v>2548.5600000000004</v>
      </c>
      <c r="P4" s="6">
        <v>6</v>
      </c>
      <c r="Q4" s="8">
        <v>0.2</v>
      </c>
      <c r="R4" s="6">
        <v>286.71299999999962</v>
      </c>
      <c r="S4" s="6" t="s">
        <v>47</v>
      </c>
      <c r="T4" s="9"/>
      <c r="U4" s="9"/>
      <c r="V4" s="9"/>
      <c r="W4" s="9"/>
      <c r="X4" s="9"/>
      <c r="Y4" s="9"/>
      <c r="Z4" s="9"/>
      <c r="AA4" s="9"/>
      <c r="AB4" s="9"/>
      <c r="AC4" s="9"/>
      <c r="AD4" s="9"/>
      <c r="AE4" s="9"/>
      <c r="AF4" s="10" t="str">
        <f t="shared" si="0"/>
        <v/>
      </c>
    </row>
    <row r="5" spans="1:32">
      <c r="A5" s="6">
        <v>6012</v>
      </c>
      <c r="B5" s="6" t="s">
        <v>39</v>
      </c>
      <c r="C5" s="7">
        <v>42368</v>
      </c>
      <c r="D5" s="7">
        <v>42372</v>
      </c>
      <c r="E5" s="6" t="s">
        <v>21</v>
      </c>
      <c r="F5" s="6" t="s">
        <v>40</v>
      </c>
      <c r="G5" s="6" t="s">
        <v>41</v>
      </c>
      <c r="H5" s="6" t="s">
        <v>24</v>
      </c>
      <c r="I5" s="6" t="s">
        <v>42</v>
      </c>
      <c r="J5" s="6" t="s">
        <v>43</v>
      </c>
      <c r="K5" s="6">
        <v>90049</v>
      </c>
      <c r="L5" s="6" t="s">
        <v>48</v>
      </c>
      <c r="M5" s="6" t="s">
        <v>49</v>
      </c>
      <c r="N5" s="6" t="s">
        <v>50</v>
      </c>
      <c r="O5" s="6">
        <v>271.44</v>
      </c>
      <c r="P5" s="6">
        <v>3</v>
      </c>
      <c r="Q5" s="8">
        <v>0</v>
      </c>
      <c r="R5" s="6">
        <v>122.148</v>
      </c>
      <c r="S5" s="6" t="s">
        <v>47</v>
      </c>
      <c r="T5" s="9"/>
      <c r="U5" s="9"/>
      <c r="V5" s="9"/>
      <c r="W5" s="9"/>
      <c r="X5" s="9"/>
      <c r="Y5" s="9"/>
      <c r="Z5" s="9"/>
      <c r="AA5" s="9"/>
      <c r="AB5" s="9"/>
      <c r="AC5" s="9"/>
      <c r="AD5" s="9"/>
      <c r="AE5" s="9"/>
      <c r="AF5" s="10" t="str">
        <f t="shared" si="0"/>
        <v/>
      </c>
    </row>
    <row r="6" spans="1:32">
      <c r="A6" s="6">
        <v>6117</v>
      </c>
      <c r="B6" s="6" t="s">
        <v>51</v>
      </c>
      <c r="C6" s="7">
        <v>42687</v>
      </c>
      <c r="D6" s="7">
        <v>42693</v>
      </c>
      <c r="E6" s="6" t="s">
        <v>21</v>
      </c>
      <c r="F6" s="6" t="s">
        <v>52</v>
      </c>
      <c r="G6" s="6" t="s">
        <v>23</v>
      </c>
      <c r="H6" s="6" t="s">
        <v>24</v>
      </c>
      <c r="I6" s="6" t="s">
        <v>53</v>
      </c>
      <c r="J6" s="6" t="s">
        <v>54</v>
      </c>
      <c r="K6" s="6">
        <v>10011</v>
      </c>
      <c r="L6" s="6" t="s">
        <v>55</v>
      </c>
      <c r="M6" s="6" t="s">
        <v>45</v>
      </c>
      <c r="N6" s="6" t="s">
        <v>56</v>
      </c>
      <c r="O6" s="6">
        <v>2279.96</v>
      </c>
      <c r="P6" s="6">
        <v>4</v>
      </c>
      <c r="Q6" s="8">
        <v>0</v>
      </c>
      <c r="R6" s="6">
        <v>592.78960000000006</v>
      </c>
      <c r="S6" s="6" t="s">
        <v>57</v>
      </c>
      <c r="T6" s="9"/>
      <c r="U6" s="9"/>
      <c r="V6" s="9"/>
      <c r="W6" s="9"/>
      <c r="X6" s="9"/>
      <c r="Y6" s="9"/>
      <c r="Z6" s="9"/>
      <c r="AA6" s="9"/>
      <c r="AB6" s="9"/>
      <c r="AC6" s="9"/>
      <c r="AD6" s="9"/>
      <c r="AE6" s="9"/>
      <c r="AF6" s="10" t="str">
        <f t="shared" si="0"/>
        <v/>
      </c>
    </row>
    <row r="7" spans="1:32">
      <c r="A7" s="6">
        <v>6042</v>
      </c>
      <c r="B7" s="6" t="s">
        <v>58</v>
      </c>
      <c r="C7" s="7">
        <v>43002</v>
      </c>
      <c r="D7" s="7">
        <v>43007</v>
      </c>
      <c r="E7" s="6" t="s">
        <v>21</v>
      </c>
      <c r="F7" s="6" t="s">
        <v>59</v>
      </c>
      <c r="G7" s="6" t="s">
        <v>33</v>
      </c>
      <c r="H7" s="6" t="s">
        <v>24</v>
      </c>
      <c r="I7" s="6" t="s">
        <v>42</v>
      </c>
      <c r="J7" s="6" t="s">
        <v>43</v>
      </c>
      <c r="K7" s="6">
        <v>90008</v>
      </c>
      <c r="L7" s="6" t="s">
        <v>60</v>
      </c>
      <c r="M7" s="6" t="s">
        <v>45</v>
      </c>
      <c r="N7" s="6" t="s">
        <v>46</v>
      </c>
      <c r="O7" s="6">
        <v>506.28</v>
      </c>
      <c r="P7" s="6">
        <v>3</v>
      </c>
      <c r="Q7" s="8">
        <v>0.2</v>
      </c>
      <c r="R7" s="6">
        <v>177.19799999999998</v>
      </c>
      <c r="S7" s="6" t="s">
        <v>61</v>
      </c>
      <c r="T7" s="9"/>
      <c r="U7" s="9"/>
      <c r="V7" s="9"/>
      <c r="W7" s="9"/>
      <c r="X7" s="9"/>
      <c r="Y7" s="9"/>
      <c r="Z7" s="9"/>
      <c r="AA7" s="9"/>
      <c r="AB7" s="9"/>
      <c r="AC7" s="9"/>
      <c r="AD7" s="9"/>
      <c r="AE7" s="9"/>
      <c r="AF7" s="10" t="str">
        <f t="shared" si="0"/>
        <v/>
      </c>
    </row>
    <row r="8" spans="1:32">
      <c r="A8" s="6">
        <v>6041</v>
      </c>
      <c r="B8" s="6" t="s">
        <v>58</v>
      </c>
      <c r="C8" s="7">
        <v>43002</v>
      </c>
      <c r="D8" s="7">
        <v>43007</v>
      </c>
      <c r="E8" s="6" t="s">
        <v>21</v>
      </c>
      <c r="F8" s="6" t="s">
        <v>59</v>
      </c>
      <c r="G8" s="6" t="s">
        <v>33</v>
      </c>
      <c r="H8" s="6" t="s">
        <v>24</v>
      </c>
      <c r="I8" s="6" t="s">
        <v>42</v>
      </c>
      <c r="J8" s="6" t="s">
        <v>43</v>
      </c>
      <c r="K8" s="6">
        <v>90008</v>
      </c>
      <c r="L8" s="6" t="s">
        <v>62</v>
      </c>
      <c r="M8" s="6" t="s">
        <v>45</v>
      </c>
      <c r="N8" s="6" t="s">
        <v>56</v>
      </c>
      <c r="O8" s="6">
        <v>859.2</v>
      </c>
      <c r="P8" s="6">
        <v>3</v>
      </c>
      <c r="Q8" s="8">
        <v>0.2</v>
      </c>
      <c r="R8" s="6">
        <v>75.180000000000064</v>
      </c>
      <c r="S8" s="6" t="s">
        <v>61</v>
      </c>
      <c r="T8" s="9"/>
      <c r="U8" s="9"/>
      <c r="V8" s="9"/>
      <c r="W8" s="9"/>
      <c r="X8" s="9"/>
      <c r="Y8" s="9"/>
      <c r="Z8" s="9"/>
      <c r="AA8" s="9"/>
      <c r="AB8" s="9"/>
      <c r="AC8" s="9"/>
      <c r="AD8" s="9"/>
      <c r="AE8" s="9"/>
      <c r="AF8" s="10" t="str">
        <f t="shared" si="0"/>
        <v/>
      </c>
    </row>
    <row r="9" spans="1:32">
      <c r="A9" s="6">
        <v>6160</v>
      </c>
      <c r="B9" s="6" t="s">
        <v>63</v>
      </c>
      <c r="C9" s="7">
        <v>42707</v>
      </c>
      <c r="D9" s="7">
        <v>42713</v>
      </c>
      <c r="E9" s="6" t="s">
        <v>21</v>
      </c>
      <c r="F9" s="6" t="s">
        <v>64</v>
      </c>
      <c r="G9" s="6" t="s">
        <v>41</v>
      </c>
      <c r="H9" s="6" t="s">
        <v>24</v>
      </c>
      <c r="I9" s="6" t="s">
        <v>42</v>
      </c>
      <c r="J9" s="6" t="s">
        <v>43</v>
      </c>
      <c r="K9" s="6">
        <v>90049</v>
      </c>
      <c r="L9" s="6" t="s">
        <v>65</v>
      </c>
      <c r="M9" s="6" t="s">
        <v>49</v>
      </c>
      <c r="N9" s="6" t="s">
        <v>66</v>
      </c>
      <c r="O9" s="6">
        <v>772.68</v>
      </c>
      <c r="P9" s="6">
        <v>4</v>
      </c>
      <c r="Q9" s="8">
        <v>0</v>
      </c>
      <c r="R9" s="6">
        <v>108.17520000000002</v>
      </c>
      <c r="S9" s="6" t="s">
        <v>67</v>
      </c>
      <c r="T9" s="9"/>
      <c r="U9" s="9"/>
      <c r="V9" s="9"/>
      <c r="W9" s="9"/>
      <c r="X9" s="9"/>
      <c r="Y9" s="9"/>
      <c r="Z9" s="9"/>
      <c r="AA9" s="9"/>
      <c r="AB9" s="9"/>
      <c r="AC9" s="9"/>
      <c r="AD9" s="9"/>
      <c r="AE9" s="9"/>
      <c r="AF9" s="10" t="str">
        <f t="shared" si="0"/>
        <v/>
      </c>
    </row>
    <row r="10" spans="1:32">
      <c r="A10" s="6">
        <v>6176</v>
      </c>
      <c r="B10" s="6" t="s">
        <v>68</v>
      </c>
      <c r="C10" s="7">
        <v>42268</v>
      </c>
      <c r="D10" s="7">
        <v>42273</v>
      </c>
      <c r="E10" s="6" t="s">
        <v>21</v>
      </c>
      <c r="F10" s="6" t="s">
        <v>69</v>
      </c>
      <c r="G10" s="6" t="s">
        <v>41</v>
      </c>
      <c r="H10" s="6" t="s">
        <v>24</v>
      </c>
      <c r="I10" s="6" t="s">
        <v>70</v>
      </c>
      <c r="J10" s="6" t="s">
        <v>71</v>
      </c>
      <c r="K10" s="6">
        <v>29203</v>
      </c>
      <c r="L10" s="6" t="s">
        <v>72</v>
      </c>
      <c r="M10" s="6" t="s">
        <v>28</v>
      </c>
      <c r="N10" s="6" t="s">
        <v>73</v>
      </c>
      <c r="O10" s="6">
        <v>1690.04</v>
      </c>
      <c r="P10" s="6">
        <v>4</v>
      </c>
      <c r="Q10" s="8">
        <v>0</v>
      </c>
      <c r="R10" s="6">
        <v>422.51</v>
      </c>
      <c r="S10" s="6" t="s">
        <v>74</v>
      </c>
      <c r="T10" s="9"/>
      <c r="U10" s="9"/>
      <c r="V10" s="9"/>
      <c r="W10" s="9"/>
      <c r="X10" s="9"/>
      <c r="Y10" s="9"/>
      <c r="Z10" s="9"/>
      <c r="AA10" s="9"/>
      <c r="AB10" s="9"/>
      <c r="AC10" s="9"/>
      <c r="AD10" s="9"/>
      <c r="AE10" s="9"/>
      <c r="AF10" s="10" t="str">
        <f t="shared" si="0"/>
        <v/>
      </c>
    </row>
    <row r="11" spans="1:32">
      <c r="A11" s="6">
        <v>6181</v>
      </c>
      <c r="B11" s="6" t="s">
        <v>68</v>
      </c>
      <c r="C11" s="7">
        <v>42268</v>
      </c>
      <c r="D11" s="7">
        <v>42273</v>
      </c>
      <c r="E11" s="6" t="s">
        <v>21</v>
      </c>
      <c r="F11" s="6" t="s">
        <v>69</v>
      </c>
      <c r="G11" s="6" t="s">
        <v>41</v>
      </c>
      <c r="H11" s="6" t="s">
        <v>24</v>
      </c>
      <c r="I11" s="6" t="s">
        <v>70</v>
      </c>
      <c r="J11" s="6" t="s">
        <v>71</v>
      </c>
      <c r="K11" s="6">
        <v>29203</v>
      </c>
      <c r="L11" s="6" t="s">
        <v>75</v>
      </c>
      <c r="M11" s="6" t="s">
        <v>45</v>
      </c>
      <c r="N11" s="6" t="s">
        <v>56</v>
      </c>
      <c r="O11" s="6">
        <v>629.94999999999993</v>
      </c>
      <c r="P11" s="6">
        <v>5</v>
      </c>
      <c r="Q11" s="8">
        <v>0</v>
      </c>
      <c r="R11" s="6">
        <v>176.38600000000002</v>
      </c>
      <c r="S11" s="6" t="s">
        <v>74</v>
      </c>
      <c r="T11" s="9"/>
      <c r="U11" s="9"/>
      <c r="V11" s="9"/>
      <c r="W11" s="9"/>
      <c r="X11" s="9"/>
      <c r="Y11" s="9"/>
      <c r="Z11" s="9"/>
      <c r="AA11" s="9"/>
      <c r="AB11" s="9"/>
      <c r="AC11" s="9"/>
      <c r="AD11" s="9"/>
      <c r="AE11" s="9"/>
      <c r="AF11" s="10" t="str">
        <f t="shared" si="0"/>
        <v/>
      </c>
    </row>
    <row r="12" spans="1:32">
      <c r="A12" s="6">
        <v>6141</v>
      </c>
      <c r="B12" s="6" t="s">
        <v>76</v>
      </c>
      <c r="C12" s="7">
        <v>42925</v>
      </c>
      <c r="D12" s="7">
        <v>42931</v>
      </c>
      <c r="E12" s="6" t="s">
        <v>21</v>
      </c>
      <c r="F12" s="6" t="s">
        <v>77</v>
      </c>
      <c r="G12" s="6" t="s">
        <v>41</v>
      </c>
      <c r="H12" s="6" t="s">
        <v>24</v>
      </c>
      <c r="I12" s="6" t="s">
        <v>78</v>
      </c>
      <c r="J12" s="6" t="s">
        <v>79</v>
      </c>
      <c r="K12" s="6">
        <v>6040</v>
      </c>
      <c r="L12" s="6" t="s">
        <v>80</v>
      </c>
      <c r="M12" s="6" t="s">
        <v>49</v>
      </c>
      <c r="N12" s="6" t="s">
        <v>81</v>
      </c>
      <c r="O12" s="6">
        <v>274.8</v>
      </c>
      <c r="P12" s="6">
        <v>5</v>
      </c>
      <c r="Q12" s="8">
        <v>0</v>
      </c>
      <c r="R12" s="6">
        <v>134.65199999999999</v>
      </c>
      <c r="S12" s="6" t="s">
        <v>82</v>
      </c>
      <c r="T12" s="9"/>
      <c r="U12" s="9"/>
      <c r="V12" s="9"/>
      <c r="W12" s="9"/>
      <c r="X12" s="9"/>
      <c r="Y12" s="9"/>
      <c r="Z12" s="9"/>
      <c r="AA12" s="9"/>
      <c r="AB12" s="9"/>
      <c r="AC12" s="9"/>
      <c r="AD12" s="9"/>
      <c r="AE12" s="9"/>
      <c r="AF12" s="10" t="str">
        <f t="shared" si="0"/>
        <v/>
      </c>
    </row>
    <row r="13" spans="1:32">
      <c r="A13" s="6">
        <v>6143</v>
      </c>
      <c r="B13" s="6" t="s">
        <v>76</v>
      </c>
      <c r="C13" s="7">
        <v>42925</v>
      </c>
      <c r="D13" s="7">
        <v>42931</v>
      </c>
      <c r="E13" s="6" t="s">
        <v>21</v>
      </c>
      <c r="F13" s="6" t="s">
        <v>77</v>
      </c>
      <c r="G13" s="6" t="s">
        <v>41</v>
      </c>
      <c r="H13" s="6" t="s">
        <v>24</v>
      </c>
      <c r="I13" s="6" t="s">
        <v>78</v>
      </c>
      <c r="J13" s="6" t="s">
        <v>79</v>
      </c>
      <c r="K13" s="6">
        <v>6040</v>
      </c>
      <c r="L13" s="6" t="s">
        <v>83</v>
      </c>
      <c r="M13" s="6" t="s">
        <v>45</v>
      </c>
      <c r="N13" s="6" t="s">
        <v>56</v>
      </c>
      <c r="O13" s="6">
        <v>257.98</v>
      </c>
      <c r="P13" s="6">
        <v>2</v>
      </c>
      <c r="Q13" s="8">
        <v>0</v>
      </c>
      <c r="R13" s="6">
        <v>74.8142</v>
      </c>
      <c r="S13" s="6" t="s">
        <v>82</v>
      </c>
      <c r="T13" s="9"/>
      <c r="U13" s="9"/>
      <c r="V13" s="9"/>
      <c r="W13" s="9"/>
      <c r="X13" s="9"/>
      <c r="Y13" s="9"/>
      <c r="Z13" s="9"/>
      <c r="AA13" s="9"/>
      <c r="AB13" s="9"/>
      <c r="AC13" s="9"/>
      <c r="AD13" s="9"/>
      <c r="AE13" s="9"/>
      <c r="AF13" s="10" t="str">
        <f t="shared" si="0"/>
        <v/>
      </c>
    </row>
    <row r="14" spans="1:32">
      <c r="A14" s="6">
        <v>6191</v>
      </c>
      <c r="B14" s="6" t="s">
        <v>84</v>
      </c>
      <c r="C14" s="7">
        <v>42728</v>
      </c>
      <c r="D14" s="7">
        <v>42732</v>
      </c>
      <c r="E14" s="6" t="s">
        <v>21</v>
      </c>
      <c r="F14" s="6" t="s">
        <v>85</v>
      </c>
      <c r="G14" s="6" t="s">
        <v>41</v>
      </c>
      <c r="H14" s="6" t="s">
        <v>24</v>
      </c>
      <c r="I14" s="6" t="s">
        <v>53</v>
      </c>
      <c r="J14" s="6" t="s">
        <v>54</v>
      </c>
      <c r="K14" s="6">
        <v>10035</v>
      </c>
      <c r="L14" s="6" t="s">
        <v>86</v>
      </c>
      <c r="M14" s="6" t="s">
        <v>28</v>
      </c>
      <c r="N14" s="6" t="s">
        <v>37</v>
      </c>
      <c r="O14" s="6">
        <v>799.56000000000006</v>
      </c>
      <c r="P14" s="6">
        <v>9</v>
      </c>
      <c r="Q14" s="8">
        <v>0</v>
      </c>
      <c r="R14" s="6">
        <v>207.88559999999998</v>
      </c>
      <c r="S14" s="6" t="s">
        <v>87</v>
      </c>
      <c r="T14" s="9"/>
      <c r="U14" s="9"/>
      <c r="V14" s="9"/>
      <c r="W14" s="9"/>
      <c r="X14" s="9"/>
      <c r="Y14" s="9"/>
      <c r="Z14" s="9"/>
      <c r="AA14" s="9"/>
      <c r="AB14" s="9"/>
      <c r="AC14" s="9"/>
      <c r="AD14" s="9"/>
      <c r="AE14" s="9"/>
      <c r="AF14" s="10" t="str">
        <f t="shared" si="0"/>
        <v/>
      </c>
    </row>
    <row r="15" spans="1:32">
      <c r="A15" s="6">
        <v>6015</v>
      </c>
      <c r="B15" s="6" t="s">
        <v>88</v>
      </c>
      <c r="C15" s="7">
        <v>42439</v>
      </c>
      <c r="D15" s="7">
        <v>42440</v>
      </c>
      <c r="E15" s="6" t="s">
        <v>89</v>
      </c>
      <c r="F15" s="6" t="s">
        <v>90</v>
      </c>
      <c r="G15" s="6" t="s">
        <v>23</v>
      </c>
      <c r="H15" s="6" t="s">
        <v>24</v>
      </c>
      <c r="I15" s="6" t="s">
        <v>42</v>
      </c>
      <c r="J15" s="6" t="s">
        <v>43</v>
      </c>
      <c r="K15" s="6">
        <v>90008</v>
      </c>
      <c r="L15" s="6" t="s">
        <v>91</v>
      </c>
      <c r="M15" s="6" t="s">
        <v>45</v>
      </c>
      <c r="N15" s="6" t="s">
        <v>56</v>
      </c>
      <c r="O15" s="6">
        <v>4158.9120000000003</v>
      </c>
      <c r="P15" s="6">
        <v>8</v>
      </c>
      <c r="Q15" s="8">
        <v>0.2</v>
      </c>
      <c r="R15" s="6">
        <v>363.90480000000025</v>
      </c>
      <c r="S15" s="6" t="s">
        <v>92</v>
      </c>
      <c r="T15" s="9"/>
      <c r="U15" s="9"/>
      <c r="V15" s="9"/>
      <c r="W15" s="9"/>
      <c r="X15" s="9"/>
      <c r="Y15" s="9"/>
      <c r="Z15" s="9"/>
      <c r="AA15" s="9"/>
      <c r="AB15" s="9"/>
      <c r="AC15" s="9"/>
      <c r="AD15" s="9"/>
      <c r="AE15" s="9"/>
      <c r="AF15" s="10" t="str">
        <f t="shared" si="0"/>
        <v/>
      </c>
    </row>
    <row r="16" spans="1:32">
      <c r="A16" s="6">
        <v>6175</v>
      </c>
      <c r="B16" s="6" t="s">
        <v>93</v>
      </c>
      <c r="C16" s="7">
        <v>41853</v>
      </c>
      <c r="D16" s="7">
        <v>41859</v>
      </c>
      <c r="E16" s="6" t="s">
        <v>21</v>
      </c>
      <c r="F16" s="6" t="s">
        <v>94</v>
      </c>
      <c r="G16" s="6" t="s">
        <v>23</v>
      </c>
      <c r="H16" s="6" t="s">
        <v>24</v>
      </c>
      <c r="I16" s="6" t="s">
        <v>95</v>
      </c>
      <c r="J16" s="6" t="s">
        <v>96</v>
      </c>
      <c r="K16" s="6">
        <v>65807</v>
      </c>
      <c r="L16" s="6" t="s">
        <v>97</v>
      </c>
      <c r="M16" s="6" t="s">
        <v>49</v>
      </c>
      <c r="N16" s="6" t="s">
        <v>66</v>
      </c>
      <c r="O16" s="6">
        <v>838.38</v>
      </c>
      <c r="P16" s="6">
        <v>2</v>
      </c>
      <c r="Q16" s="8">
        <v>0</v>
      </c>
      <c r="R16" s="6">
        <v>226.36260000000004</v>
      </c>
      <c r="S16" s="6" t="s">
        <v>98</v>
      </c>
      <c r="T16" s="9"/>
      <c r="U16" s="9"/>
      <c r="V16" s="9"/>
      <c r="W16" s="9"/>
      <c r="X16" s="9"/>
      <c r="Y16" s="9"/>
      <c r="Z16" s="9"/>
      <c r="AA16" s="9"/>
      <c r="AB16" s="9"/>
      <c r="AC16" s="9"/>
      <c r="AD16" s="9"/>
      <c r="AE16" s="9"/>
      <c r="AF16" s="10" t="str">
        <f t="shared" si="0"/>
        <v/>
      </c>
    </row>
    <row r="17" spans="1:32">
      <c r="A17" s="6">
        <v>6077</v>
      </c>
      <c r="B17" s="6" t="s">
        <v>99</v>
      </c>
      <c r="C17" s="7">
        <v>42614</v>
      </c>
      <c r="D17" s="7">
        <v>42620</v>
      </c>
      <c r="E17" s="6" t="s">
        <v>21</v>
      </c>
      <c r="F17" s="6" t="s">
        <v>100</v>
      </c>
      <c r="G17" s="6" t="s">
        <v>41</v>
      </c>
      <c r="H17" s="6" t="s">
        <v>24</v>
      </c>
      <c r="I17" s="6" t="s">
        <v>53</v>
      </c>
      <c r="J17" s="6" t="s">
        <v>54</v>
      </c>
      <c r="K17" s="6">
        <v>10011</v>
      </c>
      <c r="L17" s="6" t="s">
        <v>101</v>
      </c>
      <c r="M17" s="6" t="s">
        <v>45</v>
      </c>
      <c r="N17" s="6" t="s">
        <v>102</v>
      </c>
      <c r="O17" s="6">
        <v>468.90000000000003</v>
      </c>
      <c r="P17" s="6">
        <v>6</v>
      </c>
      <c r="Q17" s="8">
        <v>0</v>
      </c>
      <c r="R17" s="6">
        <v>206.31600000000006</v>
      </c>
      <c r="S17" s="6" t="s">
        <v>103</v>
      </c>
      <c r="T17" s="9"/>
      <c r="U17" s="9"/>
      <c r="V17" s="9"/>
      <c r="W17" s="9"/>
      <c r="X17" s="9"/>
      <c r="Y17" s="9"/>
      <c r="Z17" s="9"/>
      <c r="AA17" s="9"/>
      <c r="AB17" s="9"/>
      <c r="AC17" s="9"/>
      <c r="AD17" s="9"/>
      <c r="AE17" s="9"/>
      <c r="AF17" s="10" t="str">
        <f t="shared" si="0"/>
        <v/>
      </c>
    </row>
    <row r="18" spans="1:32">
      <c r="A18" s="6">
        <v>6063</v>
      </c>
      <c r="B18" s="6" t="s">
        <v>104</v>
      </c>
      <c r="C18" s="7">
        <v>42363</v>
      </c>
      <c r="D18" s="7">
        <v>42368</v>
      </c>
      <c r="E18" s="6" t="s">
        <v>105</v>
      </c>
      <c r="F18" s="6" t="s">
        <v>106</v>
      </c>
      <c r="G18" s="6" t="s">
        <v>41</v>
      </c>
      <c r="H18" s="6" t="s">
        <v>24</v>
      </c>
      <c r="I18" s="6" t="s">
        <v>107</v>
      </c>
      <c r="J18" s="6" t="s">
        <v>43</v>
      </c>
      <c r="K18" s="6">
        <v>92037</v>
      </c>
      <c r="L18" s="6" t="s">
        <v>108</v>
      </c>
      <c r="M18" s="6" t="s">
        <v>45</v>
      </c>
      <c r="N18" s="6" t="s">
        <v>109</v>
      </c>
      <c r="O18" s="6">
        <v>1199.96</v>
      </c>
      <c r="P18" s="6">
        <v>5</v>
      </c>
      <c r="Q18" s="8">
        <v>0.2</v>
      </c>
      <c r="R18" s="6">
        <v>224.99249999999995</v>
      </c>
      <c r="S18" s="6" t="s">
        <v>110</v>
      </c>
      <c r="T18" s="9"/>
      <c r="U18" s="9"/>
      <c r="V18" s="9"/>
      <c r="W18" s="9"/>
      <c r="X18" s="9"/>
      <c r="Y18" s="9"/>
      <c r="Z18" s="9"/>
      <c r="AA18" s="9"/>
      <c r="AB18" s="9"/>
      <c r="AC18" s="9"/>
      <c r="AD18" s="9"/>
      <c r="AE18" s="9"/>
      <c r="AF18" s="10" t="str">
        <f t="shared" si="0"/>
        <v/>
      </c>
    </row>
    <row r="19" spans="1:32">
      <c r="A19" s="6">
        <v>6151</v>
      </c>
      <c r="B19" s="6" t="s">
        <v>111</v>
      </c>
      <c r="C19" s="7">
        <v>42468</v>
      </c>
      <c r="D19" s="7">
        <v>42471</v>
      </c>
      <c r="E19" s="6" t="s">
        <v>89</v>
      </c>
      <c r="F19" s="6" t="s">
        <v>112</v>
      </c>
      <c r="G19" s="6" t="s">
        <v>41</v>
      </c>
      <c r="H19" s="6" t="s">
        <v>24</v>
      </c>
      <c r="I19" s="6" t="s">
        <v>113</v>
      </c>
      <c r="J19" s="6" t="s">
        <v>114</v>
      </c>
      <c r="K19" s="6">
        <v>31907</v>
      </c>
      <c r="L19" s="6" t="s">
        <v>115</v>
      </c>
      <c r="M19" s="6" t="s">
        <v>28</v>
      </c>
      <c r="N19" s="6" t="s">
        <v>116</v>
      </c>
      <c r="O19" s="6">
        <v>354.90000000000003</v>
      </c>
      <c r="P19" s="6">
        <v>5</v>
      </c>
      <c r="Q19" s="8">
        <v>0</v>
      </c>
      <c r="R19" s="6">
        <v>88.725000000000023</v>
      </c>
      <c r="S19" s="6" t="s">
        <v>117</v>
      </c>
      <c r="T19" s="9"/>
      <c r="U19" s="9"/>
      <c r="V19" s="9"/>
      <c r="W19" s="9"/>
      <c r="X19" s="9"/>
      <c r="Y19" s="9"/>
      <c r="Z19" s="9"/>
      <c r="AA19" s="9"/>
      <c r="AB19" s="9"/>
      <c r="AC19" s="9"/>
      <c r="AD19" s="9"/>
      <c r="AE19" s="9"/>
      <c r="AF19" s="10" t="str">
        <f t="shared" si="0"/>
        <v/>
      </c>
    </row>
    <row r="20" spans="1:32">
      <c r="A20" s="6">
        <v>6100</v>
      </c>
      <c r="B20" s="6" t="s">
        <v>118</v>
      </c>
      <c r="C20" s="7">
        <v>42998</v>
      </c>
      <c r="D20" s="7">
        <v>43004</v>
      </c>
      <c r="E20" s="6" t="s">
        <v>21</v>
      </c>
      <c r="F20" s="6" t="s">
        <v>119</v>
      </c>
      <c r="G20" s="6" t="s">
        <v>41</v>
      </c>
      <c r="H20" s="6" t="s">
        <v>24</v>
      </c>
      <c r="I20" s="6" t="s">
        <v>53</v>
      </c>
      <c r="J20" s="6" t="s">
        <v>54</v>
      </c>
      <c r="K20" s="6">
        <v>10035</v>
      </c>
      <c r="L20" s="6" t="s">
        <v>120</v>
      </c>
      <c r="M20" s="6" t="s">
        <v>28</v>
      </c>
      <c r="N20" s="6" t="s">
        <v>73</v>
      </c>
      <c r="O20" s="6">
        <v>2888.1270000000004</v>
      </c>
      <c r="P20" s="6">
        <v>11</v>
      </c>
      <c r="Q20" s="8">
        <v>0.1</v>
      </c>
      <c r="R20" s="6">
        <v>609.71569999999997</v>
      </c>
      <c r="S20" s="6" t="s">
        <v>121</v>
      </c>
      <c r="T20" s="9"/>
      <c r="U20" s="9"/>
      <c r="V20" s="9"/>
      <c r="W20" s="9"/>
      <c r="X20" s="9"/>
      <c r="Y20" s="9"/>
      <c r="Z20" s="9"/>
      <c r="AA20" s="9"/>
      <c r="AB20" s="9"/>
      <c r="AC20" s="9"/>
      <c r="AD20" s="9"/>
      <c r="AE20" s="9"/>
      <c r="AF20" s="10" t="str">
        <f t="shared" si="0"/>
        <v/>
      </c>
    </row>
    <row r="21" spans="1:32">
      <c r="A21" s="6">
        <v>6102</v>
      </c>
      <c r="B21" s="6" t="s">
        <v>118</v>
      </c>
      <c r="C21" s="7">
        <v>42998</v>
      </c>
      <c r="D21" s="7">
        <v>43004</v>
      </c>
      <c r="E21" s="6" t="s">
        <v>21</v>
      </c>
      <c r="F21" s="6" t="s">
        <v>119</v>
      </c>
      <c r="G21" s="6" t="s">
        <v>41</v>
      </c>
      <c r="H21" s="6" t="s">
        <v>24</v>
      </c>
      <c r="I21" s="6" t="s">
        <v>53</v>
      </c>
      <c r="J21" s="6" t="s">
        <v>54</v>
      </c>
      <c r="K21" s="6">
        <v>10035</v>
      </c>
      <c r="L21" s="6" t="s">
        <v>122</v>
      </c>
      <c r="M21" s="6" t="s">
        <v>28</v>
      </c>
      <c r="N21" s="6" t="s">
        <v>73</v>
      </c>
      <c r="O21" s="6">
        <v>2254.41</v>
      </c>
      <c r="P21" s="6">
        <v>5</v>
      </c>
      <c r="Q21" s="8">
        <v>0.1</v>
      </c>
      <c r="R21" s="6">
        <v>375.73500000000001</v>
      </c>
      <c r="S21" s="6" t="s">
        <v>121</v>
      </c>
      <c r="T21" s="9"/>
      <c r="U21" s="9"/>
      <c r="V21" s="9"/>
      <c r="W21" s="9"/>
      <c r="X21" s="9"/>
      <c r="Y21" s="9"/>
      <c r="Z21" s="9"/>
      <c r="AA21" s="9"/>
      <c r="AB21" s="9"/>
      <c r="AC21" s="9"/>
      <c r="AD21" s="9"/>
      <c r="AE21" s="9"/>
      <c r="AF21" s="10" t="str">
        <f t="shared" si="0"/>
        <v/>
      </c>
    </row>
    <row r="22" spans="1:32">
      <c r="A22" s="6">
        <v>6101</v>
      </c>
      <c r="B22" s="6" t="s">
        <v>118</v>
      </c>
      <c r="C22" s="7">
        <v>42998</v>
      </c>
      <c r="D22" s="7">
        <v>43004</v>
      </c>
      <c r="E22" s="6" t="s">
        <v>21</v>
      </c>
      <c r="F22" s="6" t="s">
        <v>119</v>
      </c>
      <c r="G22" s="6" t="s">
        <v>41</v>
      </c>
      <c r="H22" s="6" t="s">
        <v>24</v>
      </c>
      <c r="I22" s="6" t="s">
        <v>53</v>
      </c>
      <c r="J22" s="6" t="s">
        <v>54</v>
      </c>
      <c r="K22" s="6">
        <v>10035</v>
      </c>
      <c r="L22" s="6" t="s">
        <v>91</v>
      </c>
      <c r="M22" s="6" t="s">
        <v>45</v>
      </c>
      <c r="N22" s="6" t="s">
        <v>56</v>
      </c>
      <c r="O22" s="6">
        <v>1299.6600000000001</v>
      </c>
      <c r="P22" s="6">
        <v>2</v>
      </c>
      <c r="Q22" s="8">
        <v>0</v>
      </c>
      <c r="R22" s="6">
        <v>350.90820000000008</v>
      </c>
      <c r="S22" s="6" t="s">
        <v>121</v>
      </c>
      <c r="T22" s="9"/>
      <c r="U22" s="9"/>
      <c r="V22" s="9"/>
      <c r="W22" s="9"/>
      <c r="X22" s="9"/>
      <c r="Y22" s="9"/>
      <c r="Z22" s="9"/>
      <c r="AA22" s="9"/>
      <c r="AB22" s="9"/>
      <c r="AC22" s="9"/>
      <c r="AD22" s="9"/>
      <c r="AE22" s="9"/>
      <c r="AF22" s="10" t="str">
        <f t="shared" si="0"/>
        <v/>
      </c>
    </row>
    <row r="23" spans="1:32">
      <c r="A23" s="6">
        <v>6092</v>
      </c>
      <c r="B23" s="6" t="s">
        <v>118</v>
      </c>
      <c r="C23" s="7">
        <v>42998</v>
      </c>
      <c r="D23" s="7">
        <v>43004</v>
      </c>
      <c r="E23" s="6" t="s">
        <v>21</v>
      </c>
      <c r="F23" s="6" t="s">
        <v>119</v>
      </c>
      <c r="G23" s="6" t="s">
        <v>41</v>
      </c>
      <c r="H23" s="6" t="s">
        <v>24</v>
      </c>
      <c r="I23" s="6" t="s">
        <v>53</v>
      </c>
      <c r="J23" s="6" t="s">
        <v>54</v>
      </c>
      <c r="K23" s="6">
        <v>10035</v>
      </c>
      <c r="L23" s="6" t="s">
        <v>123</v>
      </c>
      <c r="M23" s="6" t="s">
        <v>45</v>
      </c>
      <c r="N23" s="6" t="s">
        <v>102</v>
      </c>
      <c r="O23" s="6">
        <v>212.8</v>
      </c>
      <c r="P23" s="6">
        <v>2</v>
      </c>
      <c r="Q23" s="8">
        <v>0</v>
      </c>
      <c r="R23" s="6">
        <v>95.759999999999991</v>
      </c>
      <c r="S23" s="6" t="s">
        <v>121</v>
      </c>
      <c r="T23" s="9"/>
      <c r="U23" s="9"/>
      <c r="V23" s="9"/>
      <c r="W23" s="9"/>
      <c r="X23" s="9"/>
      <c r="Y23" s="9"/>
      <c r="Z23" s="9"/>
      <c r="AA23" s="9"/>
      <c r="AB23" s="9"/>
      <c r="AC23" s="9"/>
      <c r="AD23" s="9"/>
      <c r="AE23" s="9"/>
      <c r="AF23" s="10" t="str">
        <f t="shared" si="0"/>
        <v/>
      </c>
    </row>
    <row r="24" spans="1:32">
      <c r="A24" s="6">
        <v>6132</v>
      </c>
      <c r="B24" s="6" t="s">
        <v>124</v>
      </c>
      <c r="C24" s="7">
        <v>42000</v>
      </c>
      <c r="D24" s="7">
        <v>42004</v>
      </c>
      <c r="E24" s="6" t="s">
        <v>21</v>
      </c>
      <c r="F24" s="6" t="s">
        <v>125</v>
      </c>
      <c r="G24" s="6" t="s">
        <v>23</v>
      </c>
      <c r="H24" s="6" t="s">
        <v>24</v>
      </c>
      <c r="I24" s="6" t="s">
        <v>53</v>
      </c>
      <c r="J24" s="6" t="s">
        <v>54</v>
      </c>
      <c r="K24" s="6">
        <v>10011</v>
      </c>
      <c r="L24" s="6" t="s">
        <v>126</v>
      </c>
      <c r="M24" s="6" t="s">
        <v>28</v>
      </c>
      <c r="N24" s="6" t="s">
        <v>73</v>
      </c>
      <c r="O24" s="6">
        <v>767.21400000000006</v>
      </c>
      <c r="P24" s="6">
        <v>14</v>
      </c>
      <c r="Q24" s="8">
        <v>0.1</v>
      </c>
      <c r="R24" s="6">
        <v>161.96739999999997</v>
      </c>
      <c r="S24" s="6" t="s">
        <v>127</v>
      </c>
      <c r="T24" s="9"/>
      <c r="U24" s="9"/>
      <c r="V24" s="9"/>
      <c r="W24" s="9"/>
      <c r="X24" s="9"/>
      <c r="Y24" s="9"/>
      <c r="Z24" s="9"/>
      <c r="AA24" s="9"/>
      <c r="AB24" s="9"/>
      <c r="AC24" s="9"/>
      <c r="AD24" s="9"/>
      <c r="AE24" s="9"/>
      <c r="AF24" s="10" t="str">
        <f t="shared" si="0"/>
        <v/>
      </c>
    </row>
    <row r="25" spans="1:32">
      <c r="A25" s="6">
        <v>6052</v>
      </c>
      <c r="B25" s="6" t="s">
        <v>128</v>
      </c>
      <c r="C25" s="7">
        <v>42119</v>
      </c>
      <c r="D25" s="7">
        <v>42124</v>
      </c>
      <c r="E25" s="6" t="s">
        <v>21</v>
      </c>
      <c r="F25" s="6" t="s">
        <v>129</v>
      </c>
      <c r="G25" s="6" t="s">
        <v>41</v>
      </c>
      <c r="H25" s="6" t="s">
        <v>24</v>
      </c>
      <c r="I25" s="6" t="s">
        <v>130</v>
      </c>
      <c r="J25" s="6" t="s">
        <v>131</v>
      </c>
      <c r="K25" s="6">
        <v>53209</v>
      </c>
      <c r="L25" s="6" t="s">
        <v>132</v>
      </c>
      <c r="M25" s="6" t="s">
        <v>49</v>
      </c>
      <c r="N25" s="6" t="s">
        <v>133</v>
      </c>
      <c r="O25" s="6">
        <v>272.39999999999998</v>
      </c>
      <c r="P25" s="6">
        <v>5</v>
      </c>
      <c r="Q25" s="8">
        <v>0</v>
      </c>
      <c r="R25" s="6">
        <v>76.27200000000002</v>
      </c>
      <c r="S25" s="6" t="s">
        <v>134</v>
      </c>
      <c r="T25" s="9"/>
      <c r="U25" s="9"/>
      <c r="V25" s="9"/>
      <c r="W25" s="9"/>
      <c r="X25" s="9"/>
      <c r="Y25" s="9"/>
      <c r="Z25" s="9"/>
      <c r="AA25" s="9"/>
      <c r="AB25" s="9"/>
      <c r="AC25" s="9"/>
      <c r="AD25" s="9"/>
      <c r="AE25" s="9"/>
      <c r="AF25" s="10" t="str">
        <f t="shared" si="0"/>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5"/>
  <sheetViews>
    <sheetView showGridLines="0" zoomScale="94" zoomScaleNormal="130" workbookViewId="0">
      <pane xSplit="1" ySplit="1" topLeftCell="B15" activePane="bottomRight" state="frozen"/>
      <selection pane="topRight" activeCell="B1" sqref="B1"/>
      <selection pane="bottomLeft" activeCell="A2" sqref="A2"/>
      <selection pane="bottomRight" activeCell="C26" sqref="C26"/>
    </sheetView>
  </sheetViews>
  <sheetFormatPr defaultRowHeight="14.5"/>
  <cols>
    <col min="1" max="1" width="25" customWidth="1"/>
    <col min="2" max="2" width="14.7265625" bestFit="1" customWidth="1"/>
    <col min="3" max="3" width="11.453125" bestFit="1" customWidth="1"/>
    <col min="4" max="4" width="10.7265625" bestFit="1" customWidth="1"/>
    <col min="5" max="5" width="12.7265625" bestFit="1" customWidth="1"/>
    <col min="6" max="6" width="16.1796875" bestFit="1" customWidth="1"/>
    <col min="7" max="7" width="11.26953125" bestFit="1" customWidth="1"/>
    <col min="8" max="8" width="12.453125" bestFit="1" customWidth="1"/>
    <col min="11" max="11" width="16.26953125" bestFit="1" customWidth="1"/>
    <col min="12" max="12" width="13.1796875" bestFit="1" customWidth="1"/>
    <col min="13" max="13" width="13.453125" bestFit="1" customWidth="1"/>
    <col min="18" max="18" width="12.54296875" bestFit="1" customWidth="1"/>
  </cols>
  <sheetData>
    <row r="1" spans="1:19" ht="15.5">
      <c r="A1" s="1" t="s">
        <v>0</v>
      </c>
      <c r="B1" s="1" t="s">
        <v>1</v>
      </c>
      <c r="C1" s="1" t="s">
        <v>2</v>
      </c>
      <c r="D1" s="1" t="s">
        <v>3</v>
      </c>
      <c r="E1" s="1" t="s">
        <v>4</v>
      </c>
      <c r="F1" s="1" t="s">
        <v>5</v>
      </c>
      <c r="G1" s="1" t="s">
        <v>6</v>
      </c>
      <c r="H1" s="1" t="s">
        <v>8</v>
      </c>
      <c r="I1" s="1" t="s">
        <v>9</v>
      </c>
      <c r="J1" s="1" t="s">
        <v>10</v>
      </c>
      <c r="K1" s="1" t="s">
        <v>11</v>
      </c>
      <c r="L1" s="1" t="s">
        <v>12</v>
      </c>
      <c r="M1" s="1" t="s">
        <v>13</v>
      </c>
      <c r="N1" s="1" t="s">
        <v>14</v>
      </c>
      <c r="O1" s="1" t="s">
        <v>15</v>
      </c>
      <c r="P1" s="2" t="s">
        <v>16</v>
      </c>
      <c r="Q1" s="1" t="s">
        <v>17</v>
      </c>
      <c r="R1" s="1" t="s">
        <v>18</v>
      </c>
      <c r="S1" s="11" t="s">
        <v>135</v>
      </c>
    </row>
    <row r="2" spans="1:19">
      <c r="A2" s="6">
        <v>6100</v>
      </c>
      <c r="B2" s="6" t="s">
        <v>118</v>
      </c>
      <c r="C2" s="7">
        <v>42998</v>
      </c>
      <c r="D2" s="7">
        <v>43004</v>
      </c>
      <c r="E2" s="6" t="s">
        <v>21</v>
      </c>
      <c r="F2" s="6" t="s">
        <v>119</v>
      </c>
      <c r="G2" s="6" t="s">
        <v>41</v>
      </c>
      <c r="H2" s="6" t="s">
        <v>53</v>
      </c>
      <c r="I2" s="6" t="s">
        <v>54</v>
      </c>
      <c r="J2" s="6">
        <v>10035</v>
      </c>
      <c r="K2" s="6" t="s">
        <v>120</v>
      </c>
      <c r="L2" s="6" t="s">
        <v>28</v>
      </c>
      <c r="M2" s="6" t="s">
        <v>73</v>
      </c>
      <c r="N2" s="6">
        <v>2888.1270000000004</v>
      </c>
      <c r="O2" s="6">
        <v>11</v>
      </c>
      <c r="P2" s="8">
        <v>0.1</v>
      </c>
      <c r="Q2" s="6">
        <v>609.71569999999997</v>
      </c>
      <c r="R2" s="6" t="s">
        <v>121</v>
      </c>
      <c r="S2" s="12">
        <f>(N2/N13*100)</f>
        <v>14.139139760278685</v>
      </c>
    </row>
    <row r="3" spans="1:19">
      <c r="A3" s="6">
        <v>6117</v>
      </c>
      <c r="B3" s="6" t="s">
        <v>51</v>
      </c>
      <c r="C3" s="7">
        <v>42687</v>
      </c>
      <c r="D3" s="7">
        <v>42693</v>
      </c>
      <c r="E3" s="6" t="s">
        <v>21</v>
      </c>
      <c r="F3" s="6" t="s">
        <v>52</v>
      </c>
      <c r="G3" s="6" t="s">
        <v>23</v>
      </c>
      <c r="H3" s="6" t="s">
        <v>53</v>
      </c>
      <c r="I3" s="6" t="s">
        <v>54</v>
      </c>
      <c r="J3" s="6">
        <v>10011</v>
      </c>
      <c r="K3" s="6" t="s">
        <v>55</v>
      </c>
      <c r="L3" s="6" t="s">
        <v>45</v>
      </c>
      <c r="M3" s="6" t="s">
        <v>56</v>
      </c>
      <c r="N3" s="6">
        <v>2279.96</v>
      </c>
      <c r="O3" s="6">
        <v>4</v>
      </c>
      <c r="P3" s="8">
        <v>0</v>
      </c>
      <c r="Q3" s="6">
        <v>592.78960000000006</v>
      </c>
      <c r="R3" s="6" t="s">
        <v>57</v>
      </c>
      <c r="S3" s="12">
        <f t="shared" ref="S3:S12" si="0">(N3/$N$13*100)</f>
        <v>11.161792084574184</v>
      </c>
    </row>
    <row r="4" spans="1:19">
      <c r="A4" s="6">
        <v>6176</v>
      </c>
      <c r="B4" s="6" t="s">
        <v>68</v>
      </c>
      <c r="C4" s="7">
        <v>42268</v>
      </c>
      <c r="D4" s="7">
        <v>42273</v>
      </c>
      <c r="E4" s="6" t="s">
        <v>21</v>
      </c>
      <c r="F4" s="6" t="s">
        <v>69</v>
      </c>
      <c r="G4" s="6" t="s">
        <v>33</v>
      </c>
      <c r="H4" s="6" t="s">
        <v>70</v>
      </c>
      <c r="I4" s="6" t="s">
        <v>71</v>
      </c>
      <c r="J4" s="6">
        <v>29203</v>
      </c>
      <c r="K4" s="6" t="s">
        <v>72</v>
      </c>
      <c r="L4" s="6" t="s">
        <v>28</v>
      </c>
      <c r="M4" s="6" t="s">
        <v>73</v>
      </c>
      <c r="N4" s="6">
        <v>1690.04</v>
      </c>
      <c r="O4" s="6">
        <v>4</v>
      </c>
      <c r="P4" s="8">
        <v>0</v>
      </c>
      <c r="Q4" s="6">
        <v>422.51</v>
      </c>
      <c r="R4" s="6" t="s">
        <v>74</v>
      </c>
      <c r="S4" s="12">
        <f t="shared" si="0"/>
        <v>8.273774581402197</v>
      </c>
    </row>
    <row r="5" spans="1:19">
      <c r="A5" s="6">
        <v>6102</v>
      </c>
      <c r="B5" s="6" t="s">
        <v>118</v>
      </c>
      <c r="C5" s="7">
        <v>42998</v>
      </c>
      <c r="D5" s="7">
        <v>43004</v>
      </c>
      <c r="E5" s="6" t="s">
        <v>21</v>
      </c>
      <c r="F5" s="6" t="s">
        <v>119</v>
      </c>
      <c r="G5" s="6" t="s">
        <v>41</v>
      </c>
      <c r="H5" s="6" t="s">
        <v>53</v>
      </c>
      <c r="I5" s="6" t="s">
        <v>54</v>
      </c>
      <c r="J5" s="6">
        <v>10035</v>
      </c>
      <c r="K5" s="6" t="s">
        <v>122</v>
      </c>
      <c r="L5" s="6" t="s">
        <v>28</v>
      </c>
      <c r="M5" s="6" t="s">
        <v>73</v>
      </c>
      <c r="N5" s="6">
        <v>2254.41</v>
      </c>
      <c r="O5" s="6">
        <v>5</v>
      </c>
      <c r="P5" s="8">
        <v>0.1</v>
      </c>
      <c r="Q5" s="6">
        <v>375.73500000000001</v>
      </c>
      <c r="R5" s="6" t="s">
        <v>121</v>
      </c>
      <c r="S5" s="12">
        <f t="shared" si="0"/>
        <v>11.036709281471992</v>
      </c>
    </row>
    <row r="6" spans="1:19">
      <c r="A6" s="6">
        <v>6015</v>
      </c>
      <c r="B6" s="6" t="s">
        <v>88</v>
      </c>
      <c r="C6" s="7">
        <v>42439</v>
      </c>
      <c r="D6" s="7">
        <v>42440</v>
      </c>
      <c r="E6" s="6" t="s">
        <v>89</v>
      </c>
      <c r="F6" s="6" t="s">
        <v>90</v>
      </c>
      <c r="G6" s="6" t="s">
        <v>23</v>
      </c>
      <c r="H6" s="6" t="s">
        <v>42</v>
      </c>
      <c r="I6" s="6" t="s">
        <v>43</v>
      </c>
      <c r="J6" s="6">
        <v>90008</v>
      </c>
      <c r="K6" s="6" t="s">
        <v>91</v>
      </c>
      <c r="L6" s="6" t="s">
        <v>45</v>
      </c>
      <c r="M6" s="6" t="s">
        <v>56</v>
      </c>
      <c r="N6" s="6">
        <v>4158.9120000000003</v>
      </c>
      <c r="O6" s="6">
        <v>8</v>
      </c>
      <c r="P6" s="8">
        <v>0.2</v>
      </c>
      <c r="Q6" s="6">
        <v>363.90480000000025</v>
      </c>
      <c r="R6" s="6" t="s">
        <v>92</v>
      </c>
      <c r="S6" s="12">
        <f t="shared" si="0"/>
        <v>20.360405902752941</v>
      </c>
    </row>
    <row r="7" spans="1:19">
      <c r="A7" s="6">
        <v>6101</v>
      </c>
      <c r="B7" s="6" t="s">
        <v>118</v>
      </c>
      <c r="C7" s="7">
        <v>42998</v>
      </c>
      <c r="D7" s="7">
        <v>43004</v>
      </c>
      <c r="E7" s="6" t="s">
        <v>21</v>
      </c>
      <c r="F7" s="6" t="s">
        <v>119</v>
      </c>
      <c r="G7" s="6" t="s">
        <v>41</v>
      </c>
      <c r="H7" s="6" t="s">
        <v>53</v>
      </c>
      <c r="I7" s="6" t="s">
        <v>54</v>
      </c>
      <c r="J7" s="6">
        <v>10035</v>
      </c>
      <c r="K7" s="6" t="s">
        <v>91</v>
      </c>
      <c r="L7" s="6" t="s">
        <v>45</v>
      </c>
      <c r="M7" s="6" t="s">
        <v>56</v>
      </c>
      <c r="N7" s="6">
        <v>1299.6600000000001</v>
      </c>
      <c r="O7" s="6">
        <v>2</v>
      </c>
      <c r="P7" s="8">
        <v>0</v>
      </c>
      <c r="Q7" s="6">
        <v>350.90820000000008</v>
      </c>
      <c r="R7" s="6" t="s">
        <v>121</v>
      </c>
      <c r="S7" s="12">
        <f t="shared" si="0"/>
        <v>6.3626268446102934</v>
      </c>
    </row>
    <row r="8" spans="1:19">
      <c r="A8" s="6">
        <v>6011</v>
      </c>
      <c r="B8" s="6" t="s">
        <v>39</v>
      </c>
      <c r="C8" s="7">
        <v>42368</v>
      </c>
      <c r="D8" s="7">
        <v>42372</v>
      </c>
      <c r="E8" s="6" t="s">
        <v>21</v>
      </c>
      <c r="F8" s="6" t="s">
        <v>40</v>
      </c>
      <c r="G8" s="6" t="s">
        <v>33</v>
      </c>
      <c r="H8" s="6" t="s">
        <v>42</v>
      </c>
      <c r="I8" s="6" t="s">
        <v>43</v>
      </c>
      <c r="J8" s="6">
        <v>90049</v>
      </c>
      <c r="K8" s="6" t="s">
        <v>44</v>
      </c>
      <c r="L8" s="6" t="s">
        <v>45</v>
      </c>
      <c r="M8" s="6" t="s">
        <v>46</v>
      </c>
      <c r="N8" s="6">
        <v>2548.5600000000004</v>
      </c>
      <c r="O8" s="6">
        <v>6</v>
      </c>
      <c r="P8" s="8">
        <v>0.2</v>
      </c>
      <c r="Q8" s="6">
        <v>286.71299999999962</v>
      </c>
      <c r="R8" s="6" t="s">
        <v>47</v>
      </c>
      <c r="S8" s="12">
        <f t="shared" si="0"/>
        <v>12.476752589985082</v>
      </c>
    </row>
    <row r="9" spans="1:19">
      <c r="A9" s="6">
        <v>6175</v>
      </c>
      <c r="B9" s="6" t="s">
        <v>93</v>
      </c>
      <c r="C9" s="7">
        <v>41853</v>
      </c>
      <c r="D9" s="7">
        <v>41859</v>
      </c>
      <c r="E9" s="6" t="s">
        <v>21</v>
      </c>
      <c r="F9" s="6" t="s">
        <v>94</v>
      </c>
      <c r="G9" s="6" t="s">
        <v>23</v>
      </c>
      <c r="H9" s="6" t="s">
        <v>95</v>
      </c>
      <c r="I9" s="6" t="s">
        <v>96</v>
      </c>
      <c r="J9" s="6">
        <v>65807</v>
      </c>
      <c r="K9" s="6" t="s">
        <v>97</v>
      </c>
      <c r="L9" s="6" t="s">
        <v>49</v>
      </c>
      <c r="M9" s="6" t="s">
        <v>66</v>
      </c>
      <c r="N9" s="6">
        <v>838.38</v>
      </c>
      <c r="O9" s="6">
        <v>2</v>
      </c>
      <c r="P9" s="8">
        <v>0</v>
      </c>
      <c r="Q9" s="6">
        <v>226.36260000000004</v>
      </c>
      <c r="R9" s="6" t="s">
        <v>98</v>
      </c>
      <c r="S9" s="12">
        <f t="shared" si="0"/>
        <v>4.1043804487207254</v>
      </c>
    </row>
    <row r="10" spans="1:19">
      <c r="A10" s="6">
        <v>6063</v>
      </c>
      <c r="B10" s="6" t="s">
        <v>104</v>
      </c>
      <c r="C10" s="7">
        <v>42363</v>
      </c>
      <c r="D10" s="7">
        <v>42368</v>
      </c>
      <c r="E10" s="6" t="s">
        <v>105</v>
      </c>
      <c r="F10" s="6" t="s">
        <v>106</v>
      </c>
      <c r="G10" s="6" t="s">
        <v>41</v>
      </c>
      <c r="H10" s="6" t="s">
        <v>107</v>
      </c>
      <c r="I10" s="6" t="s">
        <v>43</v>
      </c>
      <c r="J10" s="6">
        <v>92037</v>
      </c>
      <c r="K10" s="6" t="s">
        <v>108</v>
      </c>
      <c r="L10" s="6" t="s">
        <v>45</v>
      </c>
      <c r="M10" s="6" t="s">
        <v>109</v>
      </c>
      <c r="N10" s="6">
        <v>1199.96</v>
      </c>
      <c r="O10" s="6">
        <v>5</v>
      </c>
      <c r="P10" s="8">
        <v>0.2</v>
      </c>
      <c r="Q10" s="6">
        <v>224.99249999999995</v>
      </c>
      <c r="R10" s="6" t="s">
        <v>110</v>
      </c>
      <c r="S10" s="12">
        <f t="shared" si="0"/>
        <v>5.8745346540314909</v>
      </c>
    </row>
    <row r="11" spans="1:19">
      <c r="A11" s="6">
        <v>6191</v>
      </c>
      <c r="B11" s="6" t="s">
        <v>84</v>
      </c>
      <c r="C11" s="7">
        <v>42728</v>
      </c>
      <c r="D11" s="7">
        <v>42732</v>
      </c>
      <c r="E11" s="6" t="s">
        <v>21</v>
      </c>
      <c r="F11" s="6" t="s">
        <v>85</v>
      </c>
      <c r="G11" s="6" t="s">
        <v>41</v>
      </c>
      <c r="H11" s="6" t="s">
        <v>53</v>
      </c>
      <c r="I11" s="6" t="s">
        <v>54</v>
      </c>
      <c r="J11" s="6">
        <v>10035</v>
      </c>
      <c r="K11" s="6" t="s">
        <v>86</v>
      </c>
      <c r="L11" s="6" t="s">
        <v>28</v>
      </c>
      <c r="M11" s="6" t="s">
        <v>37</v>
      </c>
      <c r="N11" s="6">
        <v>799.56000000000006</v>
      </c>
      <c r="O11" s="6">
        <v>9</v>
      </c>
      <c r="P11" s="8">
        <v>0</v>
      </c>
      <c r="Q11" s="6">
        <v>207.88559999999998</v>
      </c>
      <c r="R11" s="6" t="s">
        <v>87</v>
      </c>
      <c r="S11" s="12">
        <f t="shared" si="0"/>
        <v>3.9143329177451074</v>
      </c>
    </row>
    <row r="12" spans="1:19">
      <c r="A12" s="6">
        <v>6077</v>
      </c>
      <c r="B12" s="6" t="s">
        <v>99</v>
      </c>
      <c r="C12" s="7">
        <v>42614</v>
      </c>
      <c r="D12" s="7">
        <v>42620</v>
      </c>
      <c r="E12" s="6" t="s">
        <v>21</v>
      </c>
      <c r="F12" s="6" t="s">
        <v>100</v>
      </c>
      <c r="G12" s="6" t="s">
        <v>41</v>
      </c>
      <c r="H12" s="6" t="s">
        <v>53</v>
      </c>
      <c r="I12" s="6" t="s">
        <v>54</v>
      </c>
      <c r="J12" s="6">
        <v>10011</v>
      </c>
      <c r="K12" s="6" t="s">
        <v>101</v>
      </c>
      <c r="L12" s="6" t="s">
        <v>45</v>
      </c>
      <c r="M12" s="6" t="s">
        <v>102</v>
      </c>
      <c r="N12" s="6">
        <v>468.90000000000003</v>
      </c>
      <c r="O12" s="6">
        <v>6</v>
      </c>
      <c r="P12" s="8">
        <v>0</v>
      </c>
      <c r="Q12" s="6">
        <v>206.31600000000006</v>
      </c>
      <c r="R12" s="6" t="s">
        <v>103</v>
      </c>
      <c r="S12" s="12">
        <f t="shared" si="0"/>
        <v>2.2955509344272862</v>
      </c>
    </row>
    <row r="13" spans="1:19">
      <c r="N13">
        <f>SUM(N2:N12)</f>
        <v>20426.469000000005</v>
      </c>
    </row>
    <row r="14" spans="1:19">
      <c r="A14" s="13" t="s">
        <v>136</v>
      </c>
    </row>
    <row r="16" spans="1:19">
      <c r="A16" s="14" t="s">
        <v>137</v>
      </c>
    </row>
    <row r="17" spans="1:4">
      <c r="A17" s="14" t="s">
        <v>138</v>
      </c>
    </row>
    <row r="18" spans="1:4">
      <c r="A18" s="14" t="s">
        <v>139</v>
      </c>
      <c r="B18" s="14"/>
      <c r="C18" s="14"/>
      <c r="D18" s="14"/>
    </row>
    <row r="19" spans="1:4">
      <c r="A19" s="14" t="s">
        <v>140</v>
      </c>
      <c r="B19" s="14"/>
      <c r="C19" s="14"/>
      <c r="D19" s="14"/>
    </row>
    <row r="20" spans="1:4">
      <c r="A20" s="14" t="s">
        <v>141</v>
      </c>
    </row>
    <row r="21" spans="1:4">
      <c r="A21" s="14" t="s">
        <v>142</v>
      </c>
    </row>
    <row r="22" spans="1:4">
      <c r="A22" s="14" t="s">
        <v>143</v>
      </c>
    </row>
    <row r="23" spans="1:4">
      <c r="A23" s="14" t="s">
        <v>144</v>
      </c>
      <c r="B23" s="15">
        <f>$N$2+$N$3</f>
        <v>5168.0870000000004</v>
      </c>
      <c r="C23" s="15">
        <f>$N$2+$N$3</f>
        <v>5168.0870000000004</v>
      </c>
    </row>
    <row r="24" spans="1:4">
      <c r="B24" s="15"/>
    </row>
    <row r="25" spans="1:4">
      <c r="A25" s="14" t="s">
        <v>145</v>
      </c>
      <c r="C25" s="12">
        <f>(N2+N3)</f>
        <v>5168.0870000000004</v>
      </c>
    </row>
  </sheetData>
  <conditionalFormatting sqref="G2:G12">
    <cfRule type="containsText" dxfId="25" priority="1" operator="containsText" text="cor">
      <formula>NOT(ISERROR(SEARCH("cor",G2)))</formula>
    </cfRule>
    <cfRule type="containsText" dxfId="24" priority="3" operator="containsText" text="Consumer">
      <formula>NOT(ISERROR(SEARCH("Consumer",G2)))</formula>
    </cfRule>
  </conditionalFormatting>
  <conditionalFormatting sqref="O2:O12">
    <cfRule type="cellIs" dxfId="23" priority="4" operator="greaterThan">
      <formula>6</formula>
    </cfRule>
  </conditionalFormatting>
  <conditionalFormatting sqref="S2:S12">
    <cfRule type="cellIs" dxfId="22" priority="2" operator="greaterThan">
      <formula>10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O224"/>
  <sheetViews>
    <sheetView showGridLines="0" topLeftCell="A178" zoomScale="117" zoomScaleNormal="117" workbookViewId="0">
      <selection activeCell="G197" sqref="G197:H211"/>
    </sheetView>
  </sheetViews>
  <sheetFormatPr defaultRowHeight="14.5"/>
  <cols>
    <col min="1" max="1" width="33.26953125" customWidth="1"/>
    <col min="2" max="2" width="14.7265625" customWidth="1"/>
    <col min="3" max="3" width="21.26953125" bestFit="1" customWidth="1"/>
    <col min="4" max="4" width="17.1796875" customWidth="1"/>
    <col min="5" max="5" width="13.453125" customWidth="1"/>
    <col min="6" max="6" width="13.81640625" bestFit="1" customWidth="1"/>
    <col min="7" max="7" width="16.7265625" bestFit="1" customWidth="1"/>
    <col min="8" max="8" width="31.453125" customWidth="1"/>
    <col min="9" max="9" width="27.26953125" bestFit="1" customWidth="1"/>
    <col min="10" max="10" width="17.7265625" customWidth="1"/>
    <col min="11" max="11" width="15.54296875" customWidth="1"/>
    <col min="12" max="12" width="13.26953125" customWidth="1"/>
    <col min="13" max="13" width="12.7265625" customWidth="1"/>
    <col min="14" max="14" width="17.26953125" customWidth="1"/>
    <col min="15" max="15" width="14.54296875" customWidth="1"/>
    <col min="16" max="16" width="11.26953125" bestFit="1" customWidth="1"/>
    <col min="17" max="17" width="9.7265625" customWidth="1"/>
  </cols>
  <sheetData>
    <row r="2" spans="1:15">
      <c r="A2" s="16" t="s">
        <v>146</v>
      </c>
    </row>
    <row r="3" spans="1:15">
      <c r="A3" s="16" t="s">
        <v>147</v>
      </c>
    </row>
    <row r="4" spans="1:15">
      <c r="A4" s="16"/>
    </row>
    <row r="5" spans="1:15">
      <c r="A5" s="17" t="s">
        <v>148</v>
      </c>
    </row>
    <row r="6" spans="1:15">
      <c r="A6" s="18"/>
    </row>
    <row r="7" spans="1:15">
      <c r="A7" s="17" t="s">
        <v>149</v>
      </c>
      <c r="B7" s="18"/>
    </row>
    <row r="8" spans="1:15">
      <c r="B8" s="16"/>
    </row>
    <row r="9" spans="1:15" ht="15.5">
      <c r="A9" t="s">
        <v>150</v>
      </c>
      <c r="H9" s="3"/>
      <c r="I9" s="3"/>
      <c r="J9" s="3"/>
      <c r="K9" s="3"/>
      <c r="L9" s="3"/>
      <c r="M9" s="3"/>
      <c r="N9" s="3"/>
      <c r="O9" s="3"/>
    </row>
    <row r="10" spans="1:15" ht="15.5">
      <c r="A10" s="19" t="s">
        <v>349</v>
      </c>
      <c r="B10" s="19" t="s">
        <v>372</v>
      </c>
      <c r="C10" s="19" t="s">
        <v>373</v>
      </c>
      <c r="D10" s="19" t="s">
        <v>8</v>
      </c>
      <c r="E10" s="19" t="s">
        <v>9</v>
      </c>
      <c r="H10" s="5"/>
      <c r="I10" s="9"/>
      <c r="J10" s="9"/>
      <c r="K10" s="9"/>
      <c r="L10" s="9"/>
      <c r="M10" s="5"/>
      <c r="N10" s="5"/>
      <c r="O10" s="5"/>
    </row>
    <row r="11" spans="1:15">
      <c r="A11" s="20" t="s">
        <v>374</v>
      </c>
      <c r="B11" s="20" t="s">
        <v>375</v>
      </c>
      <c r="C11" s="20" t="s">
        <v>376</v>
      </c>
      <c r="D11" s="20" t="s">
        <v>42</v>
      </c>
      <c r="E11" s="20" t="s">
        <v>43</v>
      </c>
      <c r="H11" s="5"/>
      <c r="I11" s="9"/>
      <c r="J11" s="9"/>
      <c r="K11" s="9"/>
      <c r="L11" s="9"/>
      <c r="M11" s="5"/>
      <c r="N11" s="5"/>
      <c r="O11" s="5"/>
    </row>
    <row r="12" spans="1:15">
      <c r="A12" s="20" t="s">
        <v>377</v>
      </c>
      <c r="B12" s="20" t="s">
        <v>378</v>
      </c>
      <c r="C12" s="20" t="s">
        <v>379</v>
      </c>
      <c r="D12" s="20" t="s">
        <v>53</v>
      </c>
      <c r="E12" s="20" t="s">
        <v>54</v>
      </c>
      <c r="H12" s="5"/>
      <c r="I12" s="9"/>
      <c r="J12" s="9"/>
      <c r="K12" s="9"/>
      <c r="L12" s="9"/>
      <c r="M12" s="5"/>
      <c r="N12" s="5"/>
      <c r="O12" s="5"/>
    </row>
    <row r="13" spans="1:15">
      <c r="A13" s="20" t="s">
        <v>380</v>
      </c>
      <c r="B13" s="20" t="s">
        <v>381</v>
      </c>
      <c r="C13" s="20" t="s">
        <v>382</v>
      </c>
      <c r="D13" s="20" t="s">
        <v>42</v>
      </c>
      <c r="E13" s="20" t="s">
        <v>43</v>
      </c>
      <c r="H13" s="5"/>
      <c r="I13" s="9"/>
      <c r="J13" s="9"/>
      <c r="K13" s="9"/>
      <c r="L13" s="9"/>
      <c r="M13" s="5"/>
      <c r="N13" s="5"/>
      <c r="O13" s="5"/>
    </row>
    <row r="14" spans="1:15">
      <c r="A14" s="20" t="s">
        <v>383</v>
      </c>
      <c r="B14" s="20" t="s">
        <v>384</v>
      </c>
      <c r="C14" s="20" t="s">
        <v>385</v>
      </c>
      <c r="D14" s="20" t="s">
        <v>53</v>
      </c>
      <c r="E14" s="20" t="s">
        <v>54</v>
      </c>
      <c r="H14" s="5"/>
      <c r="I14" s="9"/>
      <c r="J14" s="9"/>
      <c r="K14" s="9"/>
      <c r="L14" s="9"/>
      <c r="M14" s="5"/>
      <c r="N14" s="5"/>
      <c r="O14" s="5"/>
    </row>
    <row r="15" spans="1:15">
      <c r="A15" s="20" t="s">
        <v>386</v>
      </c>
      <c r="B15" s="20" t="s">
        <v>378</v>
      </c>
      <c r="C15" s="20" t="s">
        <v>379</v>
      </c>
      <c r="D15" s="20" t="s">
        <v>53</v>
      </c>
      <c r="E15" s="20" t="s">
        <v>54</v>
      </c>
      <c r="H15" s="5"/>
      <c r="I15" s="9"/>
      <c r="J15" s="9"/>
      <c r="K15" s="9"/>
      <c r="L15" s="9"/>
      <c r="M15" s="5"/>
      <c r="N15" s="5"/>
      <c r="O15" s="5"/>
    </row>
    <row r="16" spans="1:15">
      <c r="A16" s="20" t="s">
        <v>387</v>
      </c>
      <c r="B16" s="20" t="s">
        <v>381</v>
      </c>
      <c r="C16" s="20" t="s">
        <v>388</v>
      </c>
      <c r="D16" s="20" t="s">
        <v>70</v>
      </c>
      <c r="E16" s="20" t="s">
        <v>71</v>
      </c>
      <c r="H16" s="5"/>
      <c r="I16" s="9"/>
      <c r="J16" s="9"/>
      <c r="K16" s="9"/>
      <c r="L16" s="9"/>
      <c r="M16" s="5"/>
      <c r="N16" s="5"/>
      <c r="O16" s="5"/>
    </row>
    <row r="17" spans="1:15">
      <c r="A17" s="20" t="s">
        <v>389</v>
      </c>
      <c r="B17" s="20" t="s">
        <v>375</v>
      </c>
      <c r="C17" s="20" t="s">
        <v>390</v>
      </c>
      <c r="D17" s="20" t="s">
        <v>151</v>
      </c>
      <c r="E17" s="20" t="s">
        <v>152</v>
      </c>
      <c r="H17" s="5"/>
      <c r="I17" s="9"/>
      <c r="J17" s="9"/>
      <c r="K17" s="9"/>
      <c r="L17" s="9"/>
      <c r="M17" s="5"/>
      <c r="N17" s="5"/>
      <c r="O17" s="5"/>
    </row>
    <row r="18" spans="1:15">
      <c r="A18" s="20" t="s">
        <v>391</v>
      </c>
      <c r="B18" s="20" t="s">
        <v>375</v>
      </c>
      <c r="C18" s="20" t="s">
        <v>390</v>
      </c>
      <c r="D18" s="20" t="s">
        <v>151</v>
      </c>
      <c r="E18" s="20" t="s">
        <v>152</v>
      </c>
      <c r="H18" s="5"/>
      <c r="I18" s="9"/>
      <c r="J18" s="9"/>
      <c r="K18" s="9"/>
      <c r="L18" s="9"/>
      <c r="M18" s="5"/>
      <c r="N18" s="5"/>
      <c r="O18" s="5"/>
    </row>
    <row r="19" spans="1:15">
      <c r="A19" s="20" t="s">
        <v>392</v>
      </c>
      <c r="B19" s="20" t="s">
        <v>381</v>
      </c>
      <c r="C19" s="20" t="s">
        <v>393</v>
      </c>
      <c r="D19" s="20" t="s">
        <v>153</v>
      </c>
      <c r="E19" s="20" t="s">
        <v>154</v>
      </c>
      <c r="H19" s="5"/>
      <c r="I19" s="9"/>
      <c r="J19" s="9"/>
      <c r="K19" s="9"/>
      <c r="L19" s="9"/>
      <c r="M19" s="5"/>
      <c r="N19" s="5"/>
      <c r="O19" s="5"/>
    </row>
    <row r="20" spans="1:15">
      <c r="A20" s="20" t="s">
        <v>394</v>
      </c>
      <c r="B20" s="20" t="s">
        <v>378</v>
      </c>
      <c r="C20" s="20" t="s">
        <v>379</v>
      </c>
      <c r="D20" s="20" t="s">
        <v>53</v>
      </c>
      <c r="E20" s="20" t="s">
        <v>54</v>
      </c>
    </row>
    <row r="22" spans="1:15">
      <c r="A22" s="16" t="s">
        <v>155</v>
      </c>
    </row>
    <row r="24" spans="1:15">
      <c r="A24" s="16" t="s">
        <v>156</v>
      </c>
    </row>
    <row r="25" spans="1:15">
      <c r="A25" s="16" t="s">
        <v>157</v>
      </c>
    </row>
    <row r="34" spans="1:1">
      <c r="A34" s="16" t="s">
        <v>158</v>
      </c>
    </row>
    <row r="35" spans="1:1">
      <c r="A35" s="16" t="s">
        <v>159</v>
      </c>
    </row>
    <row r="57" spans="1:1">
      <c r="A57" s="21" t="s">
        <v>160</v>
      </c>
    </row>
    <row r="79" spans="1:1">
      <c r="A79" s="17" t="s">
        <v>161</v>
      </c>
    </row>
    <row r="81" spans="1:1">
      <c r="A81" s="16" t="s">
        <v>162</v>
      </c>
    </row>
    <row r="95" spans="1:1">
      <c r="A95" s="17" t="s">
        <v>163</v>
      </c>
    </row>
    <row r="97" spans="1:4">
      <c r="A97" s="16" t="s">
        <v>164</v>
      </c>
    </row>
    <row r="98" spans="1:4">
      <c r="A98" s="16" t="s">
        <v>165</v>
      </c>
    </row>
    <row r="99" spans="1:4">
      <c r="A99" s="22"/>
    </row>
    <row r="100" spans="1:4">
      <c r="A100" s="22" t="s">
        <v>166</v>
      </c>
    </row>
    <row r="101" spans="1:4">
      <c r="A101" t="s">
        <v>167</v>
      </c>
      <c r="C101" s="10"/>
      <c r="D101" s="10"/>
    </row>
    <row r="102" spans="1:4">
      <c r="A102" t="s">
        <v>168</v>
      </c>
      <c r="C102" s="10"/>
      <c r="D102" s="10"/>
    </row>
    <row r="103" spans="1:4">
      <c r="A103" t="s">
        <v>169</v>
      </c>
      <c r="C103" s="10"/>
      <c r="D103" s="10"/>
    </row>
    <row r="104" spans="1:4">
      <c r="A104" t="s">
        <v>170</v>
      </c>
      <c r="C104" s="10"/>
      <c r="D104" s="10"/>
    </row>
    <row r="105" spans="1:4">
      <c r="A105" t="s">
        <v>171</v>
      </c>
      <c r="C105" s="10"/>
      <c r="D105" s="10"/>
    </row>
    <row r="106" spans="1:4">
      <c r="A106" t="s">
        <v>172</v>
      </c>
      <c r="C106" s="10"/>
      <c r="D106" s="10"/>
    </row>
    <row r="107" spans="1:4">
      <c r="A107" t="s">
        <v>173</v>
      </c>
      <c r="C107" s="10"/>
      <c r="D107" s="10"/>
    </row>
    <row r="108" spans="1:4">
      <c r="A108" t="s">
        <v>174</v>
      </c>
      <c r="C108" s="10"/>
      <c r="D108" s="10"/>
    </row>
    <row r="110" spans="1:4">
      <c r="A110" s="16" t="s">
        <v>175</v>
      </c>
    </row>
    <row r="112" spans="1:4">
      <c r="A112" s="16" t="s">
        <v>176</v>
      </c>
    </row>
    <row r="114" spans="1:1">
      <c r="A114" s="16" t="s">
        <v>177</v>
      </c>
    </row>
    <row r="136" spans="1:1">
      <c r="A136" s="16" t="s">
        <v>178</v>
      </c>
    </row>
    <row r="137" spans="1:1">
      <c r="A137" s="16" t="s">
        <v>179</v>
      </c>
    </row>
    <row r="160" spans="1:1">
      <c r="A160" s="16" t="s">
        <v>180</v>
      </c>
    </row>
    <row r="161" spans="1:1">
      <c r="A161" s="16" t="s">
        <v>181</v>
      </c>
    </row>
    <row r="183" spans="1:1">
      <c r="A183" s="16" t="s">
        <v>182</v>
      </c>
    </row>
    <row r="195" spans="1:8">
      <c r="A195" s="18" t="s">
        <v>183</v>
      </c>
    </row>
    <row r="197" spans="1:8" ht="15.5">
      <c r="A197" s="1" t="s">
        <v>5</v>
      </c>
      <c r="B197" s="1" t="s">
        <v>6</v>
      </c>
      <c r="C197" s="1" t="s">
        <v>7</v>
      </c>
      <c r="D197" s="1" t="s">
        <v>8</v>
      </c>
      <c r="E197" s="1" t="s">
        <v>9</v>
      </c>
      <c r="F197" s="1" t="s">
        <v>10</v>
      </c>
      <c r="G197" s="23" t="s">
        <v>395</v>
      </c>
      <c r="H197" s="1" t="s">
        <v>18</v>
      </c>
    </row>
    <row r="198" spans="1:8">
      <c r="A198" s="6" t="s">
        <v>119</v>
      </c>
      <c r="B198" s="6" t="s">
        <v>41</v>
      </c>
      <c r="C198" s="6" t="s">
        <v>24</v>
      </c>
      <c r="D198" s="6" t="s">
        <v>53</v>
      </c>
      <c r="E198" s="6" t="s">
        <v>54</v>
      </c>
      <c r="F198" s="6">
        <v>10035</v>
      </c>
      <c r="G198" s="6" t="s">
        <v>120</v>
      </c>
      <c r="H198" s="6" t="s">
        <v>121</v>
      </c>
    </row>
    <row r="199" spans="1:8">
      <c r="A199" s="6" t="s">
        <v>52</v>
      </c>
      <c r="B199" s="6" t="s">
        <v>23</v>
      </c>
      <c r="C199" s="6" t="s">
        <v>24</v>
      </c>
      <c r="D199" s="6" t="s">
        <v>53</v>
      </c>
      <c r="E199" s="6" t="s">
        <v>54</v>
      </c>
      <c r="F199" s="6">
        <v>10011</v>
      </c>
      <c r="G199" s="6" t="s">
        <v>55</v>
      </c>
      <c r="H199" s="6" t="s">
        <v>57</v>
      </c>
    </row>
    <row r="200" spans="1:8">
      <c r="A200" s="6" t="s">
        <v>69</v>
      </c>
      <c r="B200" s="6" t="s">
        <v>41</v>
      </c>
      <c r="C200" s="6" t="s">
        <v>24</v>
      </c>
      <c r="D200" s="6" t="s">
        <v>70</v>
      </c>
      <c r="E200" s="6" t="s">
        <v>71</v>
      </c>
      <c r="F200" s="6">
        <v>29203</v>
      </c>
      <c r="G200" s="6" t="s">
        <v>72</v>
      </c>
      <c r="H200" s="6" t="s">
        <v>74</v>
      </c>
    </row>
    <row r="201" spans="1:8">
      <c r="A201" s="6" t="s">
        <v>119</v>
      </c>
      <c r="B201" s="6" t="s">
        <v>41</v>
      </c>
      <c r="C201" s="6" t="s">
        <v>24</v>
      </c>
      <c r="D201" s="6" t="s">
        <v>53</v>
      </c>
      <c r="E201" s="6" t="s">
        <v>54</v>
      </c>
      <c r="F201" s="6">
        <v>10035</v>
      </c>
      <c r="G201" s="6" t="s">
        <v>122</v>
      </c>
      <c r="H201" s="6" t="s">
        <v>121</v>
      </c>
    </row>
    <row r="202" spans="1:8">
      <c r="A202" s="6" t="s">
        <v>90</v>
      </c>
      <c r="B202" s="6" t="s">
        <v>23</v>
      </c>
      <c r="C202" s="6" t="s">
        <v>24</v>
      </c>
      <c r="D202" s="6" t="s">
        <v>42</v>
      </c>
      <c r="E202" s="6" t="s">
        <v>43</v>
      </c>
      <c r="F202" s="6">
        <v>90008</v>
      </c>
      <c r="G202" s="6" t="s">
        <v>91</v>
      </c>
      <c r="H202" s="6" t="s">
        <v>57</v>
      </c>
    </row>
    <row r="203" spans="1:8">
      <c r="A203" s="6" t="s">
        <v>119</v>
      </c>
      <c r="B203" s="6" t="s">
        <v>41</v>
      </c>
      <c r="C203" s="6" t="s">
        <v>24</v>
      </c>
      <c r="D203" s="6" t="s">
        <v>53</v>
      </c>
      <c r="E203" s="6" t="s">
        <v>54</v>
      </c>
      <c r="F203" s="6">
        <v>10035</v>
      </c>
      <c r="G203" s="6" t="s">
        <v>91</v>
      </c>
      <c r="H203" s="6" t="s">
        <v>74</v>
      </c>
    </row>
    <row r="204" spans="1:8">
      <c r="A204" s="6" t="s">
        <v>40</v>
      </c>
      <c r="B204" s="6" t="s">
        <v>41</v>
      </c>
      <c r="C204" s="6" t="s">
        <v>24</v>
      </c>
      <c r="D204" s="6" t="s">
        <v>42</v>
      </c>
      <c r="E204" s="6" t="s">
        <v>43</v>
      </c>
      <c r="F204" s="6">
        <v>90049</v>
      </c>
      <c r="G204" s="6" t="s">
        <v>44</v>
      </c>
      <c r="H204" s="6" t="s">
        <v>396</v>
      </c>
    </row>
    <row r="205" spans="1:8">
      <c r="A205" s="6" t="s">
        <v>94</v>
      </c>
      <c r="B205" s="6" t="s">
        <v>23</v>
      </c>
      <c r="C205" s="6" t="s">
        <v>24</v>
      </c>
      <c r="D205" s="6" t="s">
        <v>95</v>
      </c>
      <c r="E205" s="6" t="s">
        <v>96</v>
      </c>
      <c r="F205" s="6">
        <v>65807</v>
      </c>
      <c r="G205" s="6" t="s">
        <v>97</v>
      </c>
      <c r="H205" s="6" t="s">
        <v>397</v>
      </c>
    </row>
    <row r="206" spans="1:8">
      <c r="A206" s="6" t="s">
        <v>106</v>
      </c>
      <c r="B206" s="6" t="s">
        <v>41</v>
      </c>
      <c r="C206" s="6" t="s">
        <v>24</v>
      </c>
      <c r="D206" s="6" t="s">
        <v>107</v>
      </c>
      <c r="E206" s="6" t="s">
        <v>43</v>
      </c>
      <c r="F206" s="6">
        <v>92037</v>
      </c>
      <c r="G206" s="6" t="s">
        <v>108</v>
      </c>
      <c r="H206" s="6" t="s">
        <v>398</v>
      </c>
    </row>
    <row r="207" spans="1:8">
      <c r="A207" s="6" t="s">
        <v>85</v>
      </c>
      <c r="B207" s="6" t="s">
        <v>41</v>
      </c>
      <c r="C207" s="6" t="s">
        <v>24</v>
      </c>
      <c r="D207" s="6" t="s">
        <v>53</v>
      </c>
      <c r="E207" s="6" t="s">
        <v>54</v>
      </c>
      <c r="F207" s="6">
        <v>10035</v>
      </c>
      <c r="G207" s="6" t="s">
        <v>86</v>
      </c>
      <c r="H207" s="6" t="s">
        <v>399</v>
      </c>
    </row>
    <row r="208" spans="1:8">
      <c r="A208" s="6" t="s">
        <v>100</v>
      </c>
      <c r="B208" s="6" t="s">
        <v>41</v>
      </c>
      <c r="C208" s="6" t="s">
        <v>24</v>
      </c>
      <c r="D208" s="6" t="s">
        <v>53</v>
      </c>
      <c r="E208" s="6" t="s">
        <v>54</v>
      </c>
      <c r="F208" s="6">
        <v>10011</v>
      </c>
      <c r="G208" s="6" t="s">
        <v>101</v>
      </c>
      <c r="H208" s="6" t="s">
        <v>400</v>
      </c>
    </row>
    <row r="209" spans="1:10">
      <c r="A209" s="6" t="s">
        <v>59</v>
      </c>
      <c r="B209" s="6" t="s">
        <v>33</v>
      </c>
      <c r="C209" s="6" t="s">
        <v>24</v>
      </c>
      <c r="D209" s="6" t="s">
        <v>42</v>
      </c>
      <c r="E209" s="6" t="s">
        <v>43</v>
      </c>
      <c r="F209" s="6">
        <v>90008</v>
      </c>
      <c r="G209" s="6" t="s">
        <v>60</v>
      </c>
      <c r="H209" s="6" t="s">
        <v>401</v>
      </c>
    </row>
    <row r="210" spans="1:10">
      <c r="A210" s="6" t="s">
        <v>69</v>
      </c>
      <c r="B210" s="6" t="s">
        <v>41</v>
      </c>
      <c r="C210" s="6" t="s">
        <v>24</v>
      </c>
      <c r="D210" s="6" t="s">
        <v>70</v>
      </c>
      <c r="E210" s="6" t="s">
        <v>71</v>
      </c>
      <c r="F210" s="6">
        <v>29203</v>
      </c>
      <c r="G210" s="6" t="s">
        <v>75</v>
      </c>
      <c r="H210" s="6" t="s">
        <v>402</v>
      </c>
    </row>
    <row r="211" spans="1:10">
      <c r="A211" s="6" t="s">
        <v>22</v>
      </c>
      <c r="B211" s="6" t="s">
        <v>23</v>
      </c>
      <c r="C211" s="6" t="s">
        <v>24</v>
      </c>
      <c r="D211" s="6" t="s">
        <v>25</v>
      </c>
      <c r="E211" s="6" t="s">
        <v>26</v>
      </c>
      <c r="F211" s="6">
        <v>55407</v>
      </c>
      <c r="G211" s="6" t="s">
        <v>27</v>
      </c>
      <c r="H211" s="6">
        <v>45009</v>
      </c>
    </row>
    <row r="212" spans="1:10">
      <c r="J212" s="10"/>
    </row>
    <row r="213" spans="1:10">
      <c r="J213" s="10"/>
    </row>
    <row r="214" spans="1:10">
      <c r="J214" s="10"/>
    </row>
    <row r="215" spans="1:10">
      <c r="J215" s="10"/>
    </row>
    <row r="216" spans="1:10">
      <c r="J216" s="10"/>
    </row>
    <row r="217" spans="1:10">
      <c r="J217" s="10"/>
    </row>
    <row r="218" spans="1:10">
      <c r="J218" s="10"/>
    </row>
    <row r="219" spans="1:10">
      <c r="J219" s="10"/>
    </row>
    <row r="220" spans="1:10">
      <c r="J220" s="10"/>
    </row>
    <row r="221" spans="1:10">
      <c r="J221" s="10"/>
    </row>
    <row r="222" spans="1:10">
      <c r="J222" s="10"/>
    </row>
    <row r="223" spans="1:10">
      <c r="J223" s="10"/>
    </row>
    <row r="224" spans="1:10">
      <c r="J224" s="10"/>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89"/>
  <sheetViews>
    <sheetView showGridLines="0" topLeftCell="A71" workbookViewId="0">
      <selection activeCell="B80" sqref="B80"/>
    </sheetView>
  </sheetViews>
  <sheetFormatPr defaultColWidth="9.1796875" defaultRowHeight="13.5"/>
  <cols>
    <col min="1" max="1" width="12" style="14" bestFit="1" customWidth="1"/>
    <col min="2" max="2" width="15.1796875" style="14" customWidth="1"/>
    <col min="3" max="3" width="13.7265625" style="14" customWidth="1"/>
    <col min="4" max="4" width="12" style="14" customWidth="1"/>
    <col min="5" max="5" width="13.453125" style="14" bestFit="1" customWidth="1"/>
    <col min="6" max="6" width="9.1796875" style="14"/>
    <col min="7" max="7" width="14.81640625" style="14" bestFit="1" customWidth="1"/>
    <col min="8" max="9" width="9.1796875" style="14"/>
    <col min="10" max="10" width="14.81640625" style="14" bestFit="1" customWidth="1"/>
    <col min="11" max="12" width="9.1796875" style="14"/>
    <col min="13" max="15" width="13.453125" style="14" bestFit="1" customWidth="1"/>
    <col min="16" max="16384" width="9.1796875" style="14"/>
  </cols>
  <sheetData>
    <row r="1" spans="1:15">
      <c r="A1" s="24" t="s">
        <v>184</v>
      </c>
    </row>
    <row r="2" spans="1:15">
      <c r="A2" s="24"/>
    </row>
    <row r="3" spans="1:15">
      <c r="A3" s="24" t="s">
        <v>185</v>
      </c>
      <c r="N3" s="25"/>
    </row>
    <row r="4" spans="1:15">
      <c r="A4" s="14" t="s">
        <v>186</v>
      </c>
      <c r="N4" s="25"/>
    </row>
    <row r="5" spans="1:15">
      <c r="A5" s="14" t="s">
        <v>187</v>
      </c>
      <c r="M5" s="26"/>
    </row>
    <row r="6" spans="1:15">
      <c r="A6" s="14" t="s">
        <v>188</v>
      </c>
    </row>
    <row r="7" spans="1:15">
      <c r="A7" s="13" t="s">
        <v>189</v>
      </c>
    </row>
    <row r="8" spans="1:15">
      <c r="A8" s="27">
        <f>DATE(2018,3,24)</f>
        <v>43183</v>
      </c>
      <c r="B8" s="14" t="s">
        <v>190</v>
      </c>
      <c r="O8" s="25"/>
    </row>
    <row r="9" spans="1:15">
      <c r="A9" s="14" t="s">
        <v>191</v>
      </c>
      <c r="M9" s="25"/>
    </row>
    <row r="11" spans="1:15">
      <c r="A11" s="14" t="s">
        <v>192</v>
      </c>
    </row>
    <row r="12" spans="1:15">
      <c r="A12" s="14" t="s">
        <v>189</v>
      </c>
      <c r="M12" s="25"/>
    </row>
    <row r="13" spans="1:15">
      <c r="A13" s="14" t="s">
        <v>193</v>
      </c>
    </row>
    <row r="14" spans="1:15">
      <c r="N14" s="28"/>
    </row>
    <row r="15" spans="1:15">
      <c r="A15" s="14" t="s">
        <v>194</v>
      </c>
    </row>
    <row r="16" spans="1:15">
      <c r="A16" s="13" t="s">
        <v>189</v>
      </c>
    </row>
    <row r="17" spans="1:10">
      <c r="A17" s="14" t="s">
        <v>195</v>
      </c>
    </row>
    <row r="18" spans="1:10">
      <c r="A18" s="14" t="s">
        <v>196</v>
      </c>
    </row>
    <row r="20" spans="1:10">
      <c r="A20" s="13" t="s">
        <v>197</v>
      </c>
    </row>
    <row r="21" spans="1:10">
      <c r="A21" s="14" t="s">
        <v>198</v>
      </c>
    </row>
    <row r="22" spans="1:10">
      <c r="A22" s="14" t="s">
        <v>199</v>
      </c>
      <c r="J22" s="25">
        <f>DATE(2007,9,18)</f>
        <v>39343</v>
      </c>
    </row>
    <row r="23" spans="1:10">
      <c r="A23" s="14" t="s">
        <v>200</v>
      </c>
    </row>
    <row r="24" spans="1:10">
      <c r="E24" s="25"/>
    </row>
    <row r="25" spans="1:10">
      <c r="A25" s="24" t="s">
        <v>201</v>
      </c>
    </row>
    <row r="27" spans="1:10">
      <c r="A27" s="14" t="s">
        <v>202</v>
      </c>
    </row>
    <row r="28" spans="1:10">
      <c r="A28" s="14" t="s">
        <v>203</v>
      </c>
    </row>
    <row r="29" spans="1:10">
      <c r="A29" s="14" t="s">
        <v>204</v>
      </c>
    </row>
    <row r="31" spans="1:10">
      <c r="A31" s="13" t="s">
        <v>197</v>
      </c>
    </row>
    <row r="32" spans="1:10">
      <c r="A32" s="14" t="s">
        <v>205</v>
      </c>
    </row>
    <row r="33" spans="1:16">
      <c r="A33" s="14" t="s">
        <v>206</v>
      </c>
      <c r="M33" s="25"/>
      <c r="N33" s="25"/>
      <c r="O33" s="29"/>
      <c r="P33" s="30"/>
    </row>
    <row r="34" spans="1:16">
      <c r="A34" s="14" t="s">
        <v>207</v>
      </c>
      <c r="M34" s="25"/>
      <c r="N34" s="25"/>
      <c r="O34" s="29"/>
    </row>
    <row r="35" spans="1:16">
      <c r="A35" s="14" t="s">
        <v>208</v>
      </c>
    </row>
    <row r="36" spans="1:16">
      <c r="A36" s="14" t="s">
        <v>209</v>
      </c>
    </row>
    <row r="37" spans="1:16">
      <c r="A37" s="14" t="s">
        <v>210</v>
      </c>
    </row>
    <row r="38" spans="1:16">
      <c r="A38" s="14" t="s">
        <v>211</v>
      </c>
    </row>
    <row r="40" spans="1:16">
      <c r="A40" s="13" t="s">
        <v>189</v>
      </c>
    </row>
    <row r="41" spans="1:16" ht="15.5">
      <c r="A41" s="31" t="s">
        <v>0</v>
      </c>
      <c r="B41" s="31" t="s">
        <v>1</v>
      </c>
      <c r="C41" s="31" t="s">
        <v>2</v>
      </c>
      <c r="D41" s="31" t="s">
        <v>3</v>
      </c>
    </row>
    <row r="42" spans="1:16" ht="14.5">
      <c r="A42" s="20">
        <v>1</v>
      </c>
      <c r="B42" s="20" t="s">
        <v>212</v>
      </c>
      <c r="C42" s="32">
        <v>42682</v>
      </c>
      <c r="D42" s="32">
        <v>42685</v>
      </c>
    </row>
    <row r="43" spans="1:16" ht="14.5">
      <c r="A43" s="20">
        <v>2</v>
      </c>
      <c r="B43" s="20" t="s">
        <v>212</v>
      </c>
      <c r="C43" s="32">
        <v>42682</v>
      </c>
      <c r="D43" s="32">
        <v>42685</v>
      </c>
    </row>
    <row r="44" spans="1:16" ht="14.5">
      <c r="A44" s="20">
        <v>3</v>
      </c>
      <c r="B44" s="20" t="s">
        <v>213</v>
      </c>
      <c r="C44" s="32">
        <v>42533</v>
      </c>
      <c r="D44" s="32">
        <v>42537</v>
      </c>
    </row>
    <row r="45" spans="1:16" ht="14.5">
      <c r="A45" s="20">
        <v>4</v>
      </c>
      <c r="B45" s="20" t="s">
        <v>214</v>
      </c>
      <c r="C45" s="32">
        <v>42288</v>
      </c>
      <c r="D45" s="32">
        <v>42295</v>
      </c>
    </row>
    <row r="46" spans="1:16" ht="14.5">
      <c r="A46" s="20">
        <v>5</v>
      </c>
      <c r="B46" s="20" t="s">
        <v>214</v>
      </c>
      <c r="C46" s="32">
        <v>42288</v>
      </c>
      <c r="D46" s="32">
        <v>42295</v>
      </c>
    </row>
    <row r="47" spans="1:16" ht="14.5">
      <c r="A47" s="20">
        <v>6</v>
      </c>
      <c r="B47" s="20" t="s">
        <v>215</v>
      </c>
      <c r="C47" s="32">
        <v>41799</v>
      </c>
      <c r="D47" s="32">
        <v>41804</v>
      </c>
    </row>
    <row r="48" spans="1:16" ht="14.5">
      <c r="A48" s="20">
        <v>7</v>
      </c>
      <c r="B48" s="20" t="s">
        <v>215</v>
      </c>
      <c r="C48" s="32">
        <v>41799</v>
      </c>
      <c r="D48" s="32">
        <v>41804</v>
      </c>
    </row>
    <row r="49" spans="1:4" ht="14.5">
      <c r="A49" s="20">
        <v>8</v>
      </c>
      <c r="B49" s="20" t="s">
        <v>215</v>
      </c>
      <c r="C49" s="32">
        <v>41799</v>
      </c>
      <c r="D49" s="32">
        <v>41804</v>
      </c>
    </row>
    <row r="50" spans="1:4" ht="14.5">
      <c r="A50" s="20">
        <v>9</v>
      </c>
      <c r="B50" s="20" t="s">
        <v>215</v>
      </c>
      <c r="C50" s="32">
        <v>41799</v>
      </c>
      <c r="D50" s="32">
        <v>41804</v>
      </c>
    </row>
    <row r="51" spans="1:4" ht="14.5">
      <c r="A51" s="20">
        <v>10</v>
      </c>
      <c r="B51" s="20" t="s">
        <v>215</v>
      </c>
      <c r="C51" s="32">
        <v>41799</v>
      </c>
      <c r="D51" s="32">
        <v>41804</v>
      </c>
    </row>
    <row r="52" spans="1:4" ht="14.5">
      <c r="A52" s="20">
        <v>11</v>
      </c>
      <c r="B52" s="20" t="s">
        <v>215</v>
      </c>
      <c r="C52" s="32">
        <v>41799</v>
      </c>
      <c r="D52" s="32">
        <v>41804</v>
      </c>
    </row>
    <row r="53" spans="1:4" ht="14.5">
      <c r="A53"/>
      <c r="B53"/>
      <c r="C53" s="33"/>
      <c r="D53" s="33"/>
    </row>
    <row r="54" spans="1:4" ht="14.5">
      <c r="A54" t="s">
        <v>216</v>
      </c>
      <c r="B54"/>
      <c r="C54" s="33"/>
      <c r="D54" s="33"/>
    </row>
    <row r="55" spans="1:4" ht="14.5">
      <c r="A55"/>
      <c r="B55" s="34">
        <f>DATEDIF(C42,D42,"d")</f>
        <v>3</v>
      </c>
      <c r="C55" s="33"/>
      <c r="D55" s="33"/>
    </row>
    <row r="56" spans="1:4" ht="14.5">
      <c r="A56" t="s">
        <v>217</v>
      </c>
      <c r="B56"/>
      <c r="C56" s="33"/>
      <c r="D56" s="33"/>
    </row>
    <row r="57" spans="1:4" ht="14.5">
      <c r="A57"/>
      <c r="B57" s="34">
        <f>DATEDIF("12-06-2016","08-11-2016","m")</f>
        <v>4</v>
      </c>
      <c r="C57" s="33"/>
      <c r="D57" s="33"/>
    </row>
    <row r="58" spans="1:4" ht="14.5">
      <c r="A58" t="s">
        <v>218</v>
      </c>
      <c r="B58"/>
      <c r="C58" s="33"/>
      <c r="D58" s="33"/>
    </row>
    <row r="59" spans="1:4" ht="14.5">
      <c r="A59"/>
      <c r="B59" s="34">
        <f>DATEDIF(C42,D42,"y")</f>
        <v>0</v>
      </c>
      <c r="C59" s="33"/>
      <c r="D59" s="33"/>
    </row>
    <row r="60" spans="1:4" ht="14.5">
      <c r="A60"/>
      <c r="B60"/>
      <c r="C60" s="33"/>
      <c r="D60" s="33"/>
    </row>
    <row r="61" spans="1:4" ht="14.5">
      <c r="A61"/>
      <c r="B61"/>
      <c r="C61" s="33"/>
      <c r="D61" s="33"/>
    </row>
    <row r="62" spans="1:4" ht="14.5">
      <c r="A62"/>
      <c r="B62"/>
      <c r="C62" s="33"/>
      <c r="D62" s="33"/>
    </row>
    <row r="63" spans="1:4">
      <c r="A63" s="24" t="s">
        <v>219</v>
      </c>
    </row>
    <row r="64" spans="1:4">
      <c r="A64" s="14" t="s">
        <v>220</v>
      </c>
    </row>
    <row r="65" spans="1:8">
      <c r="A65" s="13" t="s">
        <v>197</v>
      </c>
    </row>
    <row r="66" spans="1:8">
      <c r="A66" s="35" t="s">
        <v>221</v>
      </c>
    </row>
    <row r="67" spans="1:8">
      <c r="G67" s="25"/>
    </row>
    <row r="68" spans="1:8">
      <c r="A68" s="24" t="s">
        <v>222</v>
      </c>
    </row>
    <row r="69" spans="1:8">
      <c r="A69" s="14" t="s">
        <v>223</v>
      </c>
      <c r="G69" s="25"/>
    </row>
    <row r="71" spans="1:8">
      <c r="A71" s="13" t="s">
        <v>197</v>
      </c>
      <c r="G71" s="25"/>
    </row>
    <row r="72" spans="1:8">
      <c r="A72" s="35" t="s">
        <v>224</v>
      </c>
    </row>
    <row r="73" spans="1:8">
      <c r="A73" s="14" t="s">
        <v>225</v>
      </c>
    </row>
    <row r="74" spans="1:8">
      <c r="A74" s="14" t="s">
        <v>226</v>
      </c>
    </row>
    <row r="75" spans="1:8">
      <c r="A75" s="14" t="s">
        <v>227</v>
      </c>
    </row>
    <row r="76" spans="1:8">
      <c r="A76" s="14" t="s">
        <v>228</v>
      </c>
    </row>
    <row r="78" spans="1:8">
      <c r="A78" s="14" t="s">
        <v>189</v>
      </c>
    </row>
    <row r="79" spans="1:8">
      <c r="A79" s="14" t="s">
        <v>229</v>
      </c>
    </row>
    <row r="80" spans="1:8">
      <c r="B80" s="36">
        <f>WEEKDAY(C42,2)</f>
        <v>2</v>
      </c>
      <c r="G80" s="25">
        <f ca="1">TODAY()</f>
        <v>46109</v>
      </c>
      <c r="H80" s="14">
        <f ca="1">WEEKDAY(G80,2)</f>
        <v>6</v>
      </c>
    </row>
    <row r="83" spans="1:13">
      <c r="A83" s="24"/>
    </row>
    <row r="87" spans="1:13">
      <c r="A87" s="13"/>
    </row>
    <row r="89" spans="1:13">
      <c r="M89" s="37"/>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1"/>
  <sheetViews>
    <sheetView showGridLines="0" topLeftCell="A13" workbookViewId="0">
      <selection activeCell="D26" sqref="D26"/>
    </sheetView>
  </sheetViews>
  <sheetFormatPr defaultRowHeight="14.5"/>
  <cols>
    <col min="1" max="1" width="19.54296875" bestFit="1" customWidth="1"/>
    <col min="2" max="2" width="22.54296875" bestFit="1" customWidth="1"/>
    <col min="5" max="5" width="22.54296875" bestFit="1" customWidth="1"/>
    <col min="6" max="6" width="13.81640625" bestFit="1" customWidth="1"/>
    <col min="11" max="11" width="19.54296875" bestFit="1" customWidth="1"/>
    <col min="13" max="13" width="19.26953125" bestFit="1" customWidth="1"/>
  </cols>
  <sheetData>
    <row r="1" spans="1:13" s="14" customFormat="1" ht="13.5">
      <c r="A1" s="24" t="s">
        <v>230</v>
      </c>
    </row>
    <row r="2" spans="1:13" s="14" customFormat="1" ht="13.5">
      <c r="A2" s="14" t="s">
        <v>231</v>
      </c>
    </row>
    <row r="3" spans="1:13" s="14" customFormat="1" ht="13.5"/>
    <row r="4" spans="1:13" s="14" customFormat="1" ht="13.5">
      <c r="A4" s="14" t="s">
        <v>232</v>
      </c>
      <c r="K4" s="28">
        <v>43200.402777777781</v>
      </c>
    </row>
    <row r="5" spans="1:13" s="14" customFormat="1" ht="13.5">
      <c r="A5" s="14" t="s">
        <v>233</v>
      </c>
    </row>
    <row r="6" spans="1:13" s="14" customFormat="1" ht="13.5">
      <c r="A6" s="14" t="s">
        <v>234</v>
      </c>
    </row>
    <row r="7" spans="1:13" s="14" customFormat="1" ht="13.5">
      <c r="A7" s="14" t="s">
        <v>235</v>
      </c>
    </row>
    <row r="8" spans="1:13" s="14" customFormat="1" ht="13.5"/>
    <row r="9" spans="1:13" s="14" customFormat="1" ht="13.5">
      <c r="A9" s="14" t="s">
        <v>236</v>
      </c>
    </row>
    <row r="10" spans="1:13" s="14" customFormat="1" ht="13.5">
      <c r="A10" s="14" t="s">
        <v>189</v>
      </c>
      <c r="F10" s="25"/>
    </row>
    <row r="11" spans="1:13" s="14" customFormat="1" ht="13.5">
      <c r="A11" s="38">
        <v>43200.405555555553</v>
      </c>
    </row>
    <row r="12" spans="1:13" s="14" customFormat="1" ht="13.5">
      <c r="A12" s="14" t="s">
        <v>237</v>
      </c>
      <c r="E12" s="39">
        <v>43200.406944444447</v>
      </c>
    </row>
    <row r="13" spans="1:13" s="14" customFormat="1" ht="13.5"/>
    <row r="14" spans="1:13" s="14" customFormat="1" ht="13.5"/>
    <row r="15" spans="1:13" s="14" customFormat="1" ht="13.5"/>
    <row r="16" spans="1:13" s="14" customFormat="1" ht="13.5">
      <c r="A16" s="13" t="s">
        <v>238</v>
      </c>
      <c r="M16" s="40"/>
    </row>
    <row r="17" spans="1:6" s="14" customFormat="1" ht="13.5">
      <c r="A17" s="14" t="s">
        <v>239</v>
      </c>
    </row>
    <row r="18" spans="1:6" s="14" customFormat="1" ht="13.5">
      <c r="A18" s="14" t="s">
        <v>240</v>
      </c>
    </row>
    <row r="19" spans="1:6" s="14" customFormat="1" ht="13.5">
      <c r="A19" s="13"/>
    </row>
    <row r="20" spans="1:6" s="14" customFormat="1" ht="13.5">
      <c r="A20" s="24" t="s">
        <v>241</v>
      </c>
    </row>
    <row r="21" spans="1:6" s="14" customFormat="1" ht="13.5">
      <c r="A21" s="14" t="s">
        <v>242</v>
      </c>
    </row>
    <row r="22" spans="1:6" s="14" customFormat="1" ht="13.5">
      <c r="A22" s="14" t="s">
        <v>243</v>
      </c>
    </row>
    <row r="23" spans="1:6" s="14" customFormat="1" ht="13.5">
      <c r="A23" s="13" t="s">
        <v>197</v>
      </c>
    </row>
    <row r="24" spans="1:6" s="14" customFormat="1" ht="13.5">
      <c r="A24" s="35" t="s">
        <v>244</v>
      </c>
      <c r="B24" s="40">
        <f ca="1">NOW()</f>
        <v>46109.776506365743</v>
      </c>
    </row>
    <row r="27" spans="1:6">
      <c r="C27" s="41"/>
    </row>
    <row r="29" spans="1:6">
      <c r="E29" s="42"/>
    </row>
    <row r="30" spans="1:6">
      <c r="E30" s="33"/>
      <c r="F30" s="43"/>
    </row>
    <row r="31" spans="1:6">
      <c r="B31" s="43"/>
      <c r="E31" s="43"/>
      <c r="F31" s="4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66"/>
  <sheetViews>
    <sheetView showGridLines="0" topLeftCell="A85" workbookViewId="0">
      <selection activeCell="C46" sqref="C46"/>
    </sheetView>
  </sheetViews>
  <sheetFormatPr defaultColWidth="9.1796875" defaultRowHeight="13.5"/>
  <cols>
    <col min="1" max="1" width="26.7265625" style="14" customWidth="1"/>
    <col min="2" max="2" width="23.26953125" style="14" customWidth="1"/>
    <col min="3" max="3" width="35.453125" style="14" customWidth="1"/>
    <col min="4" max="4" width="22.453125" style="14" bestFit="1" customWidth="1"/>
    <col min="5" max="5" width="10.26953125" style="14" customWidth="1"/>
    <col min="6" max="6" width="9.453125" style="14" customWidth="1"/>
    <col min="7" max="7" width="7.54296875" style="14" customWidth="1"/>
    <col min="8" max="8" width="10.54296875" style="14" bestFit="1" customWidth="1"/>
    <col min="9" max="9" width="12.7265625" style="14" bestFit="1" customWidth="1"/>
    <col min="10" max="10" width="14.54296875" style="14" bestFit="1" customWidth="1"/>
    <col min="11" max="11" width="12" style="14" bestFit="1" customWidth="1"/>
    <col min="12" max="16384" width="9.1796875" style="14"/>
  </cols>
  <sheetData>
    <row r="1" spans="1:3">
      <c r="A1" s="14" t="s">
        <v>245</v>
      </c>
    </row>
    <row r="2" spans="1:3">
      <c r="A2" s="14" t="s">
        <v>246</v>
      </c>
    </row>
    <row r="4" spans="1:3">
      <c r="A4" s="14" t="s">
        <v>247</v>
      </c>
    </row>
    <row r="6" spans="1:3">
      <c r="A6" s="24" t="s">
        <v>248</v>
      </c>
    </row>
    <row r="7" spans="1:3">
      <c r="A7" s="14" t="s">
        <v>249</v>
      </c>
    </row>
    <row r="8" spans="1:3">
      <c r="A8" s="13" t="s">
        <v>250</v>
      </c>
    </row>
    <row r="9" spans="1:3">
      <c r="A9" s="35" t="s">
        <v>251</v>
      </c>
    </row>
    <row r="11" spans="1:3">
      <c r="A11" s="14" t="s">
        <v>252</v>
      </c>
    </row>
    <row r="12" spans="1:3" ht="15">
      <c r="A12" s="44" t="s">
        <v>253</v>
      </c>
      <c r="B12" s="45" t="str">
        <f>PROPER(A12)</f>
        <v>Dorothy Wardle</v>
      </c>
      <c r="C12" s="14" t="str">
        <f>PROPER(A12)</f>
        <v>Dorothy Wardle</v>
      </c>
    </row>
    <row r="13" spans="1:3" ht="15">
      <c r="A13" s="44" t="s">
        <v>254</v>
      </c>
      <c r="B13" s="45" t="str">
        <f t="shared" ref="B13:B16" si="0">PROPER(A13)</f>
        <v>Victoria Brennan</v>
      </c>
      <c r="C13" s="14" t="str">
        <f t="shared" ref="C13:C16" si="1">PROPER(A13)</f>
        <v>Victoria Brennan</v>
      </c>
    </row>
    <row r="14" spans="1:3" ht="15">
      <c r="A14" s="44" t="s">
        <v>255</v>
      </c>
      <c r="B14" s="45" t="str">
        <f t="shared" si="0"/>
        <v>Christine Abelman</v>
      </c>
      <c r="C14" s="14" t="str">
        <f t="shared" si="1"/>
        <v>Christine Abelman</v>
      </c>
    </row>
    <row r="15" spans="1:3" ht="15">
      <c r="A15" s="44" t="s">
        <v>256</v>
      </c>
      <c r="B15" s="45" t="str">
        <f t="shared" si="0"/>
        <v>Janet Martin</v>
      </c>
      <c r="C15" s="14" t="str">
        <f t="shared" si="1"/>
        <v>Janet Martin</v>
      </c>
    </row>
    <row r="16" spans="1:3" ht="15">
      <c r="A16" s="44" t="s">
        <v>257</v>
      </c>
      <c r="B16" s="45" t="str">
        <f t="shared" si="0"/>
        <v>Ed Braxton</v>
      </c>
      <c r="C16" s="14" t="str">
        <f t="shared" si="1"/>
        <v>Ed Braxton</v>
      </c>
    </row>
    <row r="17" spans="1:3" ht="15">
      <c r="A17" s="46"/>
    </row>
    <row r="18" spans="1:3" ht="15">
      <c r="A18" s="47" t="s">
        <v>258</v>
      </c>
    </row>
    <row r="19" spans="1:3" ht="15">
      <c r="A19" s="46" t="s">
        <v>259</v>
      </c>
    </row>
    <row r="20" spans="1:3" ht="15">
      <c r="A20" s="48" t="s">
        <v>250</v>
      </c>
    </row>
    <row r="21" spans="1:3" ht="15">
      <c r="A21" s="46" t="s">
        <v>260</v>
      </c>
    </row>
    <row r="22" spans="1:3" ht="15">
      <c r="A22" s="46"/>
    </row>
    <row r="23" spans="1:3" ht="15">
      <c r="A23" s="46" t="s">
        <v>252</v>
      </c>
    </row>
    <row r="24" spans="1:3" ht="15">
      <c r="A24" s="44" t="s">
        <v>253</v>
      </c>
      <c r="B24" s="45" t="str">
        <f>UPPER(A24)</f>
        <v>DOROTHY WARDLE</v>
      </c>
      <c r="C24" s="46" t="str">
        <f>UPPER(A24)</f>
        <v>DOROTHY WARDLE</v>
      </c>
    </row>
    <row r="25" spans="1:3" ht="15">
      <c r="A25" s="44" t="s">
        <v>254</v>
      </c>
      <c r="B25" s="45" t="str">
        <f t="shared" ref="B25:B28" si="2">UPPER(A25)</f>
        <v>VICTORIA BRENNAN</v>
      </c>
      <c r="C25" s="46" t="str">
        <f t="shared" ref="C25:C28" si="3">UPPER(A25)</f>
        <v>VICTORIA BRENNAN</v>
      </c>
    </row>
    <row r="26" spans="1:3" ht="15">
      <c r="A26" s="44" t="s">
        <v>255</v>
      </c>
      <c r="B26" s="45" t="str">
        <f t="shared" si="2"/>
        <v>CHRISTINE ABELMAN</v>
      </c>
      <c r="C26" s="46" t="str">
        <f t="shared" si="3"/>
        <v>CHRISTINE ABELMAN</v>
      </c>
    </row>
    <row r="27" spans="1:3" ht="15">
      <c r="A27" s="44" t="s">
        <v>256</v>
      </c>
      <c r="B27" s="45" t="str">
        <f t="shared" si="2"/>
        <v>JANET MARTIN</v>
      </c>
      <c r="C27" s="46" t="str">
        <f t="shared" si="3"/>
        <v>JANET MARTIN</v>
      </c>
    </row>
    <row r="28" spans="1:3" ht="15">
      <c r="A28" s="44" t="s">
        <v>257</v>
      </c>
      <c r="B28" s="45" t="str">
        <f t="shared" si="2"/>
        <v>ED BRAXTON</v>
      </c>
      <c r="C28" s="46" t="str">
        <f t="shared" si="3"/>
        <v>ED BRAXTON</v>
      </c>
    </row>
    <row r="29" spans="1:3" ht="15">
      <c r="A29" s="46"/>
    </row>
    <row r="30" spans="1:3" ht="15">
      <c r="A30" s="47" t="s">
        <v>261</v>
      </c>
    </row>
    <row r="31" spans="1:3" ht="15">
      <c r="A31" s="46" t="s">
        <v>262</v>
      </c>
    </row>
    <row r="32" spans="1:3" ht="15">
      <c r="A32" s="48" t="s">
        <v>250</v>
      </c>
    </row>
    <row r="33" spans="1:3" ht="15">
      <c r="A33" s="46" t="s">
        <v>263</v>
      </c>
    </row>
    <row r="34" spans="1:3" ht="15">
      <c r="A34" s="46"/>
    </row>
    <row r="35" spans="1:3" ht="15">
      <c r="A35" s="46" t="s">
        <v>264</v>
      </c>
    </row>
    <row r="36" spans="1:3" ht="15">
      <c r="A36" s="44" t="s">
        <v>253</v>
      </c>
      <c r="B36" s="45" t="str">
        <f>LOWER(A36)</f>
        <v>dorothy wardle</v>
      </c>
      <c r="C36" s="14" t="str">
        <f>LOWER(A36)</f>
        <v>dorothy wardle</v>
      </c>
    </row>
    <row r="37" spans="1:3" ht="15">
      <c r="A37" s="44" t="s">
        <v>254</v>
      </c>
      <c r="B37" s="45" t="str">
        <f t="shared" ref="B37:B40" si="4">LOWER(A37)</f>
        <v>victoria brennan</v>
      </c>
      <c r="C37" s="14" t="str">
        <f t="shared" ref="C37:C40" si="5">LOWER(A37)</f>
        <v>victoria brennan</v>
      </c>
    </row>
    <row r="38" spans="1:3" ht="15">
      <c r="A38" s="44" t="s">
        <v>255</v>
      </c>
      <c r="B38" s="45" t="str">
        <f t="shared" si="4"/>
        <v>christine abelman</v>
      </c>
      <c r="C38" s="14" t="str">
        <f t="shared" si="5"/>
        <v>christine abelman</v>
      </c>
    </row>
    <row r="39" spans="1:3" ht="15">
      <c r="A39" s="44" t="s">
        <v>256</v>
      </c>
      <c r="B39" s="45" t="str">
        <f t="shared" si="4"/>
        <v>janet martin</v>
      </c>
      <c r="C39" s="14" t="str">
        <f t="shared" si="5"/>
        <v>janet martin</v>
      </c>
    </row>
    <row r="40" spans="1:3" ht="15">
      <c r="A40" s="44" t="s">
        <v>257</v>
      </c>
      <c r="B40" s="45" t="str">
        <f t="shared" si="4"/>
        <v>ed braxton</v>
      </c>
      <c r="C40" s="14" t="str">
        <f t="shared" si="5"/>
        <v>ed braxton</v>
      </c>
    </row>
    <row r="42" spans="1:3" ht="15">
      <c r="A42" s="47" t="s">
        <v>265</v>
      </c>
    </row>
    <row r="43" spans="1:3" ht="15">
      <c r="A43" s="46" t="s">
        <v>266</v>
      </c>
    </row>
    <row r="44" spans="1:3" ht="15">
      <c r="A44" s="46" t="s">
        <v>267</v>
      </c>
    </row>
    <row r="45" spans="1:3" ht="15">
      <c r="A45" s="46" t="s">
        <v>250</v>
      </c>
    </row>
    <row r="46" spans="1:3" ht="15">
      <c r="A46" s="49" t="s">
        <v>268</v>
      </c>
    </row>
    <row r="47" spans="1:3" s="51" customFormat="1" ht="15">
      <c r="A47" s="50" t="s">
        <v>269</v>
      </c>
    </row>
    <row r="48" spans="1:3" ht="15">
      <c r="A48" s="46"/>
    </row>
    <row r="49" spans="1:3" ht="15">
      <c r="A49" s="46" t="s">
        <v>252</v>
      </c>
    </row>
    <row r="50" spans="1:3" ht="15">
      <c r="A50" s="44" t="s">
        <v>253</v>
      </c>
      <c r="B50" s="45" t="str">
        <f>LEFT(A50,FIND(" ",A50))</f>
        <v xml:space="preserve">doroThy </v>
      </c>
      <c r="C50" s="46" t="str">
        <f>LEFT(A50,FIND(" ",A50))</f>
        <v xml:space="preserve">doroThy </v>
      </c>
    </row>
    <row r="51" spans="1:3" ht="15">
      <c r="A51" s="44" t="s">
        <v>254</v>
      </c>
      <c r="B51" s="45" t="str">
        <f>LEFT(A51,FIND(" ",A51))</f>
        <v xml:space="preserve">victOriA </v>
      </c>
      <c r="C51" s="46" t="str">
        <f t="shared" ref="C51:C54" si="6">LEFT(A51,FIND(" ",A51))</f>
        <v xml:space="preserve">victOriA </v>
      </c>
    </row>
    <row r="52" spans="1:3" ht="15">
      <c r="A52" s="44" t="s">
        <v>255</v>
      </c>
      <c r="B52" s="45" t="str">
        <f t="shared" ref="B52:B54" si="7">LEFT(A52,FIND(" ",A52))</f>
        <v xml:space="preserve">Christine </v>
      </c>
      <c r="C52" s="46" t="str">
        <f t="shared" si="6"/>
        <v xml:space="preserve">Christine </v>
      </c>
    </row>
    <row r="53" spans="1:3" ht="15">
      <c r="A53" s="44" t="s">
        <v>256</v>
      </c>
      <c r="B53" s="45" t="str">
        <f t="shared" si="7"/>
        <v xml:space="preserve">Janet </v>
      </c>
      <c r="C53" s="46" t="str">
        <f t="shared" si="6"/>
        <v xml:space="preserve">Janet </v>
      </c>
    </row>
    <row r="54" spans="1:3" ht="15">
      <c r="A54" s="44" t="s">
        <v>257</v>
      </c>
      <c r="B54" s="45" t="str">
        <f t="shared" si="7"/>
        <v xml:space="preserve">ed </v>
      </c>
      <c r="C54" s="46" t="str">
        <f t="shared" si="6"/>
        <v xml:space="preserve">ed </v>
      </c>
    </row>
    <row r="56" spans="1:3">
      <c r="A56" s="24" t="s">
        <v>270</v>
      </c>
    </row>
    <row r="57" spans="1:3">
      <c r="A57" s="35" t="s">
        <v>271</v>
      </c>
    </row>
    <row r="58" spans="1:3">
      <c r="A58" s="14" t="s">
        <v>267</v>
      </c>
    </row>
    <row r="59" spans="1:3">
      <c r="A59" s="13" t="s">
        <v>250</v>
      </c>
    </row>
    <row r="60" spans="1:3">
      <c r="A60" s="35" t="s">
        <v>272</v>
      </c>
    </row>
    <row r="61" spans="1:3">
      <c r="A61" s="14" t="s">
        <v>273</v>
      </c>
    </row>
    <row r="63" spans="1:3">
      <c r="A63" s="14" t="s">
        <v>252</v>
      </c>
    </row>
    <row r="64" spans="1:3" ht="15">
      <c r="A64" s="44" t="s">
        <v>253</v>
      </c>
      <c r="B64" s="45" t="str">
        <f>RIGHT(A64,FIND(" ",A64)-1)</f>
        <v xml:space="preserve"> warDlE</v>
      </c>
      <c r="C64" s="14" t="str">
        <f>RIGHT(A64,FIND(" ",A64)-1)</f>
        <v xml:space="preserve"> warDlE</v>
      </c>
    </row>
    <row r="65" spans="1:3" ht="15">
      <c r="A65" s="44" t="s">
        <v>254</v>
      </c>
      <c r="B65" s="45" t="str">
        <f t="shared" ref="B65:B68" si="8">RIGHT(A65,FIND(" ",A65)-1)</f>
        <v xml:space="preserve"> breNNAN</v>
      </c>
      <c r="C65" s="14" t="str">
        <f t="shared" ref="C65:C68" si="9">RIGHT(A65,FIND(" ",A65)-1)</f>
        <v xml:space="preserve"> breNNAN</v>
      </c>
    </row>
    <row r="66" spans="1:3" ht="15">
      <c r="A66" s="44" t="s">
        <v>255</v>
      </c>
      <c r="B66" s="45" t="str">
        <f t="shared" si="8"/>
        <v>e Abelman</v>
      </c>
      <c r="C66" s="14" t="str">
        <f t="shared" si="9"/>
        <v>e Abelman</v>
      </c>
    </row>
    <row r="67" spans="1:3" ht="15">
      <c r="A67" s="44" t="s">
        <v>256</v>
      </c>
      <c r="B67" s="45" t="str">
        <f t="shared" si="8"/>
        <v>artin</v>
      </c>
      <c r="C67" s="14" t="str">
        <f t="shared" si="9"/>
        <v>artin</v>
      </c>
    </row>
    <row r="68" spans="1:3" ht="15">
      <c r="A68" s="44" t="s">
        <v>257</v>
      </c>
      <c r="B68" s="45" t="str">
        <f t="shared" si="8"/>
        <v>on</v>
      </c>
      <c r="C68" s="14" t="str">
        <f t="shared" si="9"/>
        <v>on</v>
      </c>
    </row>
    <row r="70" spans="1:3">
      <c r="A70" s="24"/>
    </row>
    <row r="71" spans="1:3">
      <c r="A71" s="24" t="s">
        <v>274</v>
      </c>
    </row>
    <row r="72" spans="1:3">
      <c r="A72" s="52" t="s">
        <v>275</v>
      </c>
    </row>
    <row r="73" spans="1:3">
      <c r="A73" s="13" t="s">
        <v>250</v>
      </c>
    </row>
    <row r="74" spans="1:3">
      <c r="A74" s="51" t="s">
        <v>276</v>
      </c>
    </row>
    <row r="75" spans="1:3">
      <c r="A75" s="52" t="s">
        <v>252</v>
      </c>
    </row>
    <row r="76" spans="1:3">
      <c r="A76" s="45" t="s">
        <v>277</v>
      </c>
      <c r="B76" s="45" t="s">
        <v>278</v>
      </c>
      <c r="C76" s="45" t="str">
        <f>CONCATENATE(A76," ",B76)</f>
        <v>Dorothy Wardle</v>
      </c>
    </row>
    <row r="77" spans="1:3">
      <c r="A77" s="45" t="s">
        <v>279</v>
      </c>
      <c r="B77" s="45" t="s">
        <v>280</v>
      </c>
      <c r="C77" s="45" t="str">
        <f t="shared" ref="C77:C80" si="10">CONCATENATE(A77," ",B77)</f>
        <v>Victoria  Brennan</v>
      </c>
    </row>
    <row r="78" spans="1:3">
      <c r="A78" s="45" t="s">
        <v>281</v>
      </c>
      <c r="B78" s="45" t="s">
        <v>282</v>
      </c>
      <c r="C78" s="45" t="str">
        <f t="shared" si="10"/>
        <v>Christine  Abelman</v>
      </c>
    </row>
    <row r="79" spans="1:3">
      <c r="A79" s="53" t="s">
        <v>283</v>
      </c>
      <c r="B79" s="45" t="s">
        <v>284</v>
      </c>
      <c r="C79" s="45" t="str">
        <f t="shared" si="10"/>
        <v>Janet  Martin</v>
      </c>
    </row>
    <row r="80" spans="1:3">
      <c r="A80" s="45" t="s">
        <v>285</v>
      </c>
      <c r="B80" s="45" t="s">
        <v>286</v>
      </c>
      <c r="C80" s="45" t="str">
        <f t="shared" si="10"/>
        <v>Ed  Braxton</v>
      </c>
    </row>
    <row r="82" spans="1:4">
      <c r="A82" s="24" t="s">
        <v>287</v>
      </c>
    </row>
    <row r="83" spans="1:4">
      <c r="A83" s="52" t="s">
        <v>288</v>
      </c>
    </row>
    <row r="84" spans="1:4">
      <c r="A84" s="13" t="s">
        <v>250</v>
      </c>
    </row>
    <row r="85" spans="1:4">
      <c r="A85" s="35" t="s">
        <v>289</v>
      </c>
    </row>
    <row r="87" spans="1:4">
      <c r="A87" s="14" t="s">
        <v>252</v>
      </c>
    </row>
    <row r="88" spans="1:4">
      <c r="A88" s="45" t="s">
        <v>290</v>
      </c>
      <c r="B88" s="45" t="str">
        <f>TRIM(A88)</f>
        <v>Dorothy Wardle</v>
      </c>
    </row>
    <row r="89" spans="1:4">
      <c r="A89" s="45" t="s">
        <v>291</v>
      </c>
      <c r="B89" s="45" t="str">
        <f t="shared" ref="B89:B92" si="11">TRIM(A89)</f>
        <v>Victoria Brennan</v>
      </c>
    </row>
    <row r="90" spans="1:4">
      <c r="A90" s="45" t="s">
        <v>292</v>
      </c>
      <c r="B90" s="45" t="str">
        <f t="shared" si="11"/>
        <v>Christine Abelman</v>
      </c>
    </row>
    <row r="91" spans="1:4">
      <c r="A91" s="45" t="s">
        <v>293</v>
      </c>
      <c r="B91" s="45" t="str">
        <f t="shared" si="11"/>
        <v>Janet Martin</v>
      </c>
    </row>
    <row r="92" spans="1:4">
      <c r="A92" s="45" t="s">
        <v>294</v>
      </c>
      <c r="B92" s="45" t="str">
        <f t="shared" si="11"/>
        <v>Ed Braxton</v>
      </c>
    </row>
    <row r="93" spans="1:4">
      <c r="D93" s="14" t="str">
        <f>CONCATENATE(B93,C93)</f>
        <v/>
      </c>
    </row>
    <row r="94" spans="1:4">
      <c r="A94" s="24"/>
    </row>
    <row r="95" spans="1:4" ht="15">
      <c r="A95" s="54" t="s">
        <v>295</v>
      </c>
      <c r="B95" s="55"/>
      <c r="C95" s="56"/>
    </row>
    <row r="96" spans="1:4" ht="15">
      <c r="A96" s="57" t="s">
        <v>296</v>
      </c>
      <c r="B96" s="55"/>
      <c r="C96" s="56"/>
    </row>
    <row r="97" spans="1:3" ht="15">
      <c r="A97" s="57" t="s">
        <v>297</v>
      </c>
      <c r="B97" s="55"/>
      <c r="C97" s="56"/>
    </row>
    <row r="98" spans="1:3" ht="15">
      <c r="A98" s="55"/>
      <c r="B98" s="55"/>
      <c r="C98" s="56"/>
    </row>
    <row r="99" spans="1:3">
      <c r="A99" s="13" t="s">
        <v>250</v>
      </c>
    </row>
    <row r="100" spans="1:3">
      <c r="A100" s="14" t="s">
        <v>298</v>
      </c>
    </row>
    <row r="102" spans="1:3">
      <c r="A102" s="14" t="s">
        <v>264</v>
      </c>
    </row>
    <row r="103" spans="1:3">
      <c r="A103" s="45"/>
      <c r="B103" s="45" t="s">
        <v>299</v>
      </c>
    </row>
    <row r="104" spans="1:3">
      <c r="A104" s="45" t="s">
        <v>300</v>
      </c>
      <c r="B104" s="58" t="str">
        <f>RIGHT(A104,LEN(A104)-FIND(" ",A104))</f>
        <v>Wardle</v>
      </c>
      <c r="C104" s="59">
        <f>LEN(A104)</f>
        <v>14</v>
      </c>
    </row>
    <row r="105" spans="1:3">
      <c r="A105" s="45" t="s">
        <v>301</v>
      </c>
      <c r="B105" s="58" t="str">
        <f t="shared" ref="B105:B108" si="12">RIGHT(A105,LEN(A105)-FIND(" ",A105))</f>
        <v>Brennan</v>
      </c>
      <c r="C105" s="59">
        <f t="shared" ref="C105:C108" si="13">LEN(A105)</f>
        <v>16</v>
      </c>
    </row>
    <row r="106" spans="1:3">
      <c r="A106" s="45" t="s">
        <v>255</v>
      </c>
      <c r="B106" s="58" t="str">
        <f t="shared" si="12"/>
        <v>Abelman</v>
      </c>
      <c r="C106" s="59">
        <f t="shared" si="13"/>
        <v>17</v>
      </c>
    </row>
    <row r="107" spans="1:3">
      <c r="A107" s="45" t="s">
        <v>256</v>
      </c>
      <c r="B107" s="58" t="str">
        <f t="shared" si="12"/>
        <v>Martin</v>
      </c>
      <c r="C107" s="59">
        <f t="shared" si="13"/>
        <v>12</v>
      </c>
    </row>
    <row r="108" spans="1:3">
      <c r="A108" s="45" t="s">
        <v>302</v>
      </c>
      <c r="B108" s="58" t="str">
        <f t="shared" si="12"/>
        <v>Braxton</v>
      </c>
      <c r="C108" s="59">
        <f t="shared" si="13"/>
        <v>10</v>
      </c>
    </row>
    <row r="109" spans="1:3">
      <c r="A109" s="24"/>
    </row>
    <row r="110" spans="1:3">
      <c r="A110" s="35"/>
    </row>
    <row r="111" spans="1:3">
      <c r="A111" s="35"/>
    </row>
    <row r="112" spans="1:3">
      <c r="A112" s="35"/>
    </row>
    <row r="113" spans="1:25">
      <c r="A113" s="13"/>
    </row>
    <row r="114" spans="1:25">
      <c r="A114" s="35"/>
    </row>
    <row r="115" spans="1:25">
      <c r="A115" s="51"/>
    </row>
    <row r="116" spans="1:25">
      <c r="A116" s="51"/>
    </row>
    <row r="117" spans="1:25">
      <c r="A117" s="60"/>
    </row>
    <row r="118" spans="1:25">
      <c r="A118" s="60"/>
    </row>
    <row r="119" spans="1:25">
      <c r="A119" s="52"/>
    </row>
    <row r="120" spans="1:25">
      <c r="A120" s="60"/>
    </row>
    <row r="121" spans="1:25">
      <c r="A121" s="61"/>
    </row>
    <row r="123" spans="1:25" ht="15">
      <c r="A123" s="62"/>
      <c r="B123" s="63"/>
      <c r="C123" s="63"/>
      <c r="D123" s="63"/>
      <c r="E123" s="63"/>
      <c r="F123" s="63"/>
      <c r="G123" s="63"/>
      <c r="H123" s="63"/>
      <c r="I123" s="63"/>
      <c r="J123" s="63"/>
      <c r="K123" s="64"/>
      <c r="L123" s="63"/>
      <c r="M123" s="63"/>
      <c r="N123" s="64"/>
      <c r="O123" s="64"/>
      <c r="P123" s="64"/>
      <c r="Q123" s="65"/>
      <c r="R123" s="66"/>
      <c r="S123" s="55"/>
      <c r="T123" s="67"/>
      <c r="U123" s="67"/>
      <c r="V123" s="68"/>
      <c r="W123" s="69"/>
      <c r="X123" s="69"/>
      <c r="Y123" s="69"/>
    </row>
    <row r="124" spans="1:25" ht="15">
      <c r="A124" s="61"/>
      <c r="B124" s="61"/>
      <c r="C124" s="70"/>
      <c r="D124" s="71"/>
      <c r="E124" s="55"/>
      <c r="F124" s="55"/>
      <c r="G124" s="55"/>
      <c r="H124" s="55"/>
      <c r="I124" s="55"/>
      <c r="J124" s="55"/>
      <c r="K124" s="72"/>
      <c r="L124" s="46"/>
      <c r="M124" s="46"/>
      <c r="N124" s="73"/>
      <c r="O124" s="73"/>
      <c r="P124" s="73"/>
      <c r="Q124" s="74"/>
      <c r="R124" s="75"/>
      <c r="S124" s="76"/>
      <c r="T124" s="73"/>
      <c r="U124" s="73"/>
      <c r="V124" s="77"/>
      <c r="X124" s="59"/>
      <c r="Y124" s="59"/>
    </row>
    <row r="125" spans="1:25" ht="15">
      <c r="A125" s="61"/>
      <c r="B125" s="61"/>
      <c r="C125" s="70"/>
      <c r="D125" s="71"/>
      <c r="E125" s="55"/>
      <c r="F125" s="55"/>
      <c r="G125" s="55"/>
      <c r="H125" s="55"/>
      <c r="I125" s="55"/>
      <c r="J125" s="55"/>
      <c r="K125" s="72"/>
      <c r="L125" s="46"/>
      <c r="M125" s="46"/>
      <c r="N125" s="73"/>
      <c r="O125" s="73"/>
      <c r="P125" s="73"/>
      <c r="Q125" s="74"/>
      <c r="R125" s="75"/>
      <c r="S125" s="46"/>
      <c r="T125" s="73"/>
      <c r="U125" s="73"/>
      <c r="V125" s="77"/>
      <c r="X125" s="59"/>
      <c r="Y125" s="59"/>
    </row>
    <row r="126" spans="1:25" ht="15">
      <c r="A126" s="61"/>
      <c r="B126" s="61"/>
      <c r="C126" s="70"/>
      <c r="D126" s="71"/>
      <c r="E126" s="55"/>
      <c r="F126" s="55"/>
      <c r="G126" s="55"/>
      <c r="H126" s="55"/>
      <c r="I126" s="55"/>
      <c r="J126" s="55"/>
      <c r="K126" s="72"/>
      <c r="L126" s="46"/>
      <c r="M126" s="46"/>
      <c r="N126" s="73"/>
      <c r="O126" s="73"/>
      <c r="P126" s="73"/>
      <c r="Q126" s="74"/>
      <c r="R126" s="75"/>
      <c r="S126" s="46"/>
      <c r="T126" s="73"/>
      <c r="U126" s="73"/>
      <c r="V126" s="77"/>
      <c r="X126" s="59"/>
      <c r="Y126" s="59"/>
    </row>
    <row r="127" spans="1:25" ht="15">
      <c r="A127" s="61"/>
      <c r="B127" s="61"/>
      <c r="C127" s="70"/>
      <c r="D127" s="71"/>
      <c r="E127" s="55"/>
      <c r="F127" s="55"/>
      <c r="G127" s="55"/>
      <c r="H127" s="55"/>
      <c r="I127" s="55"/>
      <c r="J127" s="55"/>
      <c r="K127" s="72"/>
      <c r="L127" s="46"/>
      <c r="M127" s="46"/>
      <c r="N127" s="73"/>
      <c r="O127" s="73"/>
      <c r="P127" s="73"/>
      <c r="Q127" s="74"/>
      <c r="R127" s="75"/>
      <c r="S127" s="46"/>
      <c r="T127" s="73"/>
      <c r="U127" s="73"/>
      <c r="V127" s="77"/>
      <c r="X127" s="59"/>
      <c r="Y127" s="59"/>
    </row>
    <row r="128" spans="1:25" ht="15">
      <c r="A128" s="61"/>
      <c r="B128" s="61"/>
      <c r="C128" s="70"/>
      <c r="D128" s="71"/>
      <c r="E128" s="55"/>
      <c r="F128" s="55"/>
      <c r="G128" s="55"/>
      <c r="H128" s="55"/>
      <c r="I128" s="55"/>
      <c r="J128" s="55"/>
      <c r="K128" s="72"/>
      <c r="L128" s="46"/>
      <c r="M128" s="46"/>
      <c r="N128" s="73"/>
      <c r="O128" s="73"/>
      <c r="P128" s="73"/>
      <c r="Q128" s="74"/>
      <c r="R128" s="75"/>
      <c r="S128" s="46"/>
      <c r="T128" s="73"/>
      <c r="U128" s="73"/>
      <c r="V128" s="77"/>
      <c r="X128" s="59"/>
      <c r="Y128" s="59"/>
    </row>
    <row r="129" spans="1:25" ht="15">
      <c r="A129" s="55"/>
      <c r="B129" s="55"/>
      <c r="C129" s="56"/>
      <c r="D129" s="71"/>
      <c r="E129" s="55"/>
      <c r="F129" s="55"/>
      <c r="G129" s="55"/>
      <c r="H129" s="55"/>
      <c r="I129" s="55"/>
      <c r="J129" s="55"/>
      <c r="K129" s="72"/>
      <c r="L129" s="46"/>
      <c r="M129" s="46"/>
      <c r="N129" s="73"/>
      <c r="O129" s="73"/>
      <c r="P129" s="73"/>
      <c r="Q129" s="74"/>
      <c r="R129" s="75"/>
      <c r="S129" s="46"/>
      <c r="T129" s="73"/>
      <c r="U129" s="73"/>
      <c r="V129" s="77"/>
      <c r="X129" s="59"/>
      <c r="Y129" s="59"/>
    </row>
    <row r="130" spans="1:25" ht="15">
      <c r="D130" s="71"/>
      <c r="E130" s="55"/>
      <c r="F130" s="55"/>
      <c r="G130" s="55"/>
      <c r="H130" s="55"/>
      <c r="I130" s="55"/>
      <c r="J130" s="55"/>
      <c r="K130" s="72"/>
      <c r="L130" s="46"/>
      <c r="M130" s="46"/>
      <c r="N130" s="73"/>
      <c r="O130" s="73"/>
      <c r="P130" s="73"/>
      <c r="Q130" s="74"/>
      <c r="R130" s="75"/>
      <c r="S130" s="46"/>
      <c r="T130" s="73"/>
      <c r="U130" s="73"/>
      <c r="V130" s="77"/>
      <c r="X130" s="59"/>
      <c r="Y130" s="59"/>
    </row>
    <row r="131" spans="1:25" ht="15">
      <c r="D131" s="71"/>
      <c r="E131" s="55"/>
      <c r="F131" s="55"/>
      <c r="G131" s="55"/>
      <c r="H131" s="55"/>
      <c r="I131" s="55"/>
      <c r="J131" s="55"/>
      <c r="K131" s="72"/>
      <c r="L131" s="46"/>
      <c r="M131" s="46"/>
      <c r="N131" s="73"/>
      <c r="O131" s="73"/>
      <c r="P131" s="73"/>
      <c r="Q131" s="74"/>
      <c r="R131" s="75"/>
      <c r="S131" s="46"/>
      <c r="T131" s="73"/>
      <c r="U131" s="73"/>
      <c r="V131" s="77"/>
      <c r="X131" s="59"/>
      <c r="Y131" s="59"/>
    </row>
    <row r="132" spans="1:25" ht="15">
      <c r="D132" s="71"/>
      <c r="E132" s="55"/>
      <c r="F132" s="55"/>
      <c r="G132" s="55"/>
      <c r="H132" s="55"/>
      <c r="I132" s="55"/>
      <c r="J132" s="55"/>
      <c r="K132" s="72"/>
      <c r="L132" s="46"/>
      <c r="M132" s="46"/>
      <c r="N132" s="73"/>
      <c r="O132" s="73"/>
      <c r="P132" s="73"/>
      <c r="Q132" s="74"/>
      <c r="R132" s="75"/>
      <c r="S132" s="46"/>
      <c r="T132" s="73"/>
      <c r="U132" s="73"/>
      <c r="V132" s="77"/>
      <c r="X132" s="59"/>
      <c r="Y132" s="59"/>
    </row>
    <row r="133" spans="1:25" ht="15">
      <c r="D133" s="71"/>
      <c r="E133" s="55"/>
      <c r="F133" s="55"/>
      <c r="G133" s="55"/>
      <c r="H133" s="55"/>
      <c r="I133" s="55"/>
      <c r="J133" s="55"/>
      <c r="K133" s="72"/>
      <c r="L133" s="46"/>
      <c r="M133" s="46"/>
      <c r="N133" s="73"/>
      <c r="O133" s="73"/>
      <c r="P133" s="73"/>
      <c r="Q133" s="74"/>
      <c r="R133" s="75"/>
      <c r="S133" s="46"/>
      <c r="T133" s="73"/>
      <c r="U133" s="73"/>
      <c r="V133" s="77"/>
      <c r="X133" s="59"/>
      <c r="Y133" s="59"/>
    </row>
    <row r="138" spans="1:25">
      <c r="F138" s="59"/>
      <c r="G138" s="59"/>
    </row>
    <row r="139" spans="1:25">
      <c r="D139" s="59"/>
      <c r="E139" s="59"/>
      <c r="F139" s="59"/>
      <c r="G139" s="59"/>
    </row>
    <row r="140" spans="1:25">
      <c r="D140" s="59"/>
      <c r="E140" s="59"/>
      <c r="F140" s="59"/>
      <c r="G140" s="59"/>
    </row>
    <row r="141" spans="1:25">
      <c r="D141" s="59"/>
      <c r="E141" s="59"/>
      <c r="F141" s="59"/>
      <c r="G141" s="59"/>
    </row>
    <row r="142" spans="1:25">
      <c r="D142" s="59"/>
      <c r="E142" s="59"/>
      <c r="F142" s="59"/>
      <c r="G142" s="59"/>
    </row>
    <row r="143" spans="1:25">
      <c r="D143" s="59"/>
      <c r="E143" s="59"/>
      <c r="F143" s="59"/>
      <c r="G143" s="59"/>
    </row>
    <row r="146" spans="1:3">
      <c r="A146" s="69"/>
      <c r="B146" s="78"/>
      <c r="C146" s="78"/>
    </row>
    <row r="147" spans="1:3">
      <c r="A147" s="69"/>
      <c r="B147" s="78"/>
      <c r="C147" s="78"/>
    </row>
    <row r="148" spans="1:3">
      <c r="A148" s="69"/>
      <c r="B148" s="78"/>
      <c r="C148" s="78"/>
    </row>
    <row r="149" spans="1:3">
      <c r="A149" s="78"/>
      <c r="B149" s="78"/>
      <c r="C149" s="78"/>
    </row>
    <row r="150" spans="1:3" ht="15">
      <c r="A150" s="79"/>
      <c r="B150" s="80"/>
      <c r="C150" s="80"/>
    </row>
    <row r="151" spans="1:3">
      <c r="A151" s="81"/>
      <c r="B151" s="81"/>
      <c r="C151" s="81"/>
    </row>
    <row r="152" spans="1:3">
      <c r="A152" s="81"/>
      <c r="B152" s="81"/>
      <c r="C152" s="81"/>
    </row>
    <row r="153" spans="1:3">
      <c r="A153" s="81"/>
      <c r="B153" s="81"/>
      <c r="C153" s="81"/>
    </row>
    <row r="154" spans="1:3">
      <c r="A154" s="81"/>
      <c r="B154" s="81"/>
      <c r="C154" s="81"/>
    </row>
    <row r="155" spans="1:3">
      <c r="A155" s="81"/>
      <c r="B155" s="81"/>
      <c r="C155" s="81"/>
    </row>
    <row r="156" spans="1:3">
      <c r="A156" s="81"/>
      <c r="B156" s="81"/>
      <c r="C156" s="81"/>
    </row>
    <row r="157" spans="1:3">
      <c r="A157" s="81"/>
      <c r="B157" s="81"/>
      <c r="C157" s="81"/>
    </row>
    <row r="158" spans="1:3">
      <c r="A158" s="81"/>
      <c r="B158" s="81"/>
      <c r="C158" s="81"/>
    </row>
    <row r="159" spans="1:3">
      <c r="A159" s="81"/>
      <c r="B159" s="81"/>
      <c r="C159" s="81"/>
    </row>
    <row r="160" spans="1:3">
      <c r="A160" s="81"/>
      <c r="B160" s="81"/>
      <c r="C160" s="81"/>
    </row>
    <row r="161" spans="1:3">
      <c r="A161" s="81"/>
      <c r="B161" s="81"/>
      <c r="C161" s="81"/>
    </row>
    <row r="162" spans="1:3">
      <c r="A162" s="81"/>
      <c r="B162" s="81"/>
      <c r="C162" s="81"/>
    </row>
    <row r="163" spans="1:3">
      <c r="A163" s="81"/>
      <c r="B163" s="81"/>
      <c r="C163" s="81"/>
    </row>
    <row r="164" spans="1:3">
      <c r="A164" s="81"/>
      <c r="B164" s="81"/>
      <c r="C164" s="81"/>
    </row>
    <row r="165" spans="1:3">
      <c r="A165" s="81"/>
      <c r="B165" s="81"/>
      <c r="C165" s="81"/>
    </row>
    <row r="166" spans="1:3">
      <c r="A166" s="78"/>
      <c r="B166" s="78"/>
      <c r="C166" s="78"/>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104"/>
  <sheetViews>
    <sheetView showGridLines="0" tabSelected="1" workbookViewId="0">
      <selection activeCell="D13" sqref="D13"/>
    </sheetView>
  </sheetViews>
  <sheetFormatPr defaultColWidth="8.81640625" defaultRowHeight="13.5"/>
  <cols>
    <col min="1" max="1" width="40.26953125" style="14" customWidth="1"/>
    <col min="2" max="2" width="19.453125" style="14" customWidth="1"/>
    <col min="3" max="3" width="17.26953125" style="14" bestFit="1" customWidth="1"/>
    <col min="4" max="4" width="19" style="14" customWidth="1"/>
    <col min="5" max="5" width="14.81640625" style="14" bestFit="1" customWidth="1"/>
    <col min="6" max="6" width="17.1796875" style="14" bestFit="1" customWidth="1"/>
    <col min="7" max="7" width="21.26953125" style="14" bestFit="1" customWidth="1"/>
    <col min="8" max="8" width="12.54296875" style="14" bestFit="1" customWidth="1"/>
    <col min="9" max="9" width="15" style="14" bestFit="1" customWidth="1"/>
    <col min="10" max="10" width="14.54296875" style="14" bestFit="1" customWidth="1"/>
    <col min="11" max="11" width="12.1796875" style="14" bestFit="1" customWidth="1"/>
    <col min="12" max="12" width="18.1796875" style="14" bestFit="1" customWidth="1"/>
    <col min="13" max="14" width="11.26953125" style="14" bestFit="1" customWidth="1"/>
    <col min="15" max="15" width="11.81640625" style="14" bestFit="1" customWidth="1"/>
    <col min="16" max="16" width="12.26953125" style="14" bestFit="1" customWidth="1"/>
    <col min="17" max="17" width="10.26953125" style="14" bestFit="1" customWidth="1"/>
    <col min="18" max="16384" width="8.81640625" style="14"/>
  </cols>
  <sheetData>
    <row r="1" spans="1:24" s="84" customFormat="1" ht="15">
      <c r="A1" s="82" t="s">
        <v>0</v>
      </c>
      <c r="B1" s="82" t="s">
        <v>1</v>
      </c>
      <c r="C1" s="82" t="s">
        <v>2</v>
      </c>
      <c r="D1" s="82" t="s">
        <v>3</v>
      </c>
      <c r="E1" s="82" t="s">
        <v>4</v>
      </c>
      <c r="F1" s="82" t="s">
        <v>18</v>
      </c>
      <c r="G1" s="82" t="s">
        <v>5</v>
      </c>
      <c r="H1" s="82" t="s">
        <v>6</v>
      </c>
      <c r="I1" s="82" t="s">
        <v>8</v>
      </c>
      <c r="J1" s="82" t="s">
        <v>9</v>
      </c>
      <c r="K1" s="82" t="s">
        <v>10</v>
      </c>
      <c r="L1" s="82" t="s">
        <v>12</v>
      </c>
      <c r="M1" s="82" t="s">
        <v>14</v>
      </c>
      <c r="N1" s="82" t="s">
        <v>303</v>
      </c>
      <c r="O1" s="82" t="s">
        <v>15</v>
      </c>
      <c r="P1" s="82" t="s">
        <v>16</v>
      </c>
      <c r="Q1" s="82" t="s">
        <v>17</v>
      </c>
      <c r="R1" s="83"/>
      <c r="S1" s="83"/>
      <c r="T1" s="83"/>
      <c r="U1" s="83"/>
      <c r="V1" s="83"/>
      <c r="W1" s="83"/>
      <c r="X1" s="83"/>
    </row>
    <row r="2" spans="1:24" ht="15">
      <c r="A2" s="44">
        <v>1342</v>
      </c>
      <c r="B2" s="44" t="s">
        <v>334</v>
      </c>
      <c r="C2" s="85">
        <v>42737</v>
      </c>
      <c r="D2" s="85">
        <v>42739</v>
      </c>
      <c r="E2" s="44" t="s">
        <v>89</v>
      </c>
      <c r="F2" s="44" t="s">
        <v>335</v>
      </c>
      <c r="G2" s="44" t="s">
        <v>336</v>
      </c>
      <c r="H2" s="44" t="s">
        <v>33</v>
      </c>
      <c r="I2" s="44" t="s">
        <v>321</v>
      </c>
      <c r="J2" s="44" t="s">
        <v>313</v>
      </c>
      <c r="K2" s="44">
        <v>28540</v>
      </c>
      <c r="L2" s="44" t="s">
        <v>49</v>
      </c>
      <c r="M2" s="44">
        <v>15.66</v>
      </c>
      <c r="N2" s="44"/>
      <c r="O2" s="44">
        <v>5</v>
      </c>
      <c r="P2" s="44">
        <v>0.7</v>
      </c>
      <c r="Q2" s="86">
        <v>22.763999999999996</v>
      </c>
    </row>
    <row r="3" spans="1:24" ht="15">
      <c r="A3" s="44">
        <v>1108</v>
      </c>
      <c r="B3" s="44" t="s">
        <v>304</v>
      </c>
      <c r="C3" s="85">
        <v>42693</v>
      </c>
      <c r="D3" s="85">
        <v>42698</v>
      </c>
      <c r="E3" s="44" t="s">
        <v>21</v>
      </c>
      <c r="F3" s="44" t="s">
        <v>305</v>
      </c>
      <c r="G3" s="44" t="s">
        <v>306</v>
      </c>
      <c r="H3" s="44" t="s">
        <v>41</v>
      </c>
      <c r="I3" s="44" t="s">
        <v>307</v>
      </c>
      <c r="J3" s="44" t="s">
        <v>308</v>
      </c>
      <c r="K3" s="44">
        <v>77041</v>
      </c>
      <c r="L3" s="44" t="s">
        <v>49</v>
      </c>
      <c r="M3" s="44">
        <v>10.779999999999996</v>
      </c>
      <c r="N3" s="44"/>
      <c r="O3" s="44">
        <v>5</v>
      </c>
      <c r="P3" s="44">
        <v>0.8</v>
      </c>
      <c r="Q3" s="86">
        <v>85.247500000000002</v>
      </c>
    </row>
    <row r="4" spans="1:24" ht="15">
      <c r="A4" s="44">
        <v>1106</v>
      </c>
      <c r="B4" s="44" t="s">
        <v>304</v>
      </c>
      <c r="C4" s="85">
        <v>42693</v>
      </c>
      <c r="D4" s="85">
        <v>42698</v>
      </c>
      <c r="E4" s="44" t="s">
        <v>21</v>
      </c>
      <c r="F4" s="44" t="s">
        <v>305</v>
      </c>
      <c r="G4" s="44" t="s">
        <v>306</v>
      </c>
      <c r="H4" s="44" t="s">
        <v>41</v>
      </c>
      <c r="I4" s="44" t="s">
        <v>307</v>
      </c>
      <c r="J4" s="44" t="s">
        <v>308</v>
      </c>
      <c r="K4" s="44">
        <v>77041</v>
      </c>
      <c r="L4" s="44" t="s">
        <v>49</v>
      </c>
      <c r="M4" s="44">
        <v>100.70400000000001</v>
      </c>
      <c r="N4" s="44"/>
      <c r="O4" s="44">
        <v>6</v>
      </c>
      <c r="P4" s="44">
        <v>0.2</v>
      </c>
      <c r="Q4" s="86">
        <v>-3.8385000000000105</v>
      </c>
    </row>
    <row r="5" spans="1:24" ht="15">
      <c r="A5" s="44">
        <v>1467</v>
      </c>
      <c r="B5" s="44" t="s">
        <v>337</v>
      </c>
      <c r="C5" s="85">
        <v>41859</v>
      </c>
      <c r="D5" s="85">
        <v>41865</v>
      </c>
      <c r="E5" s="44" t="s">
        <v>21</v>
      </c>
      <c r="F5" s="44" t="s">
        <v>338</v>
      </c>
      <c r="G5" s="44" t="s">
        <v>339</v>
      </c>
      <c r="H5" s="44" t="s">
        <v>41</v>
      </c>
      <c r="I5" s="44" t="s">
        <v>340</v>
      </c>
      <c r="J5" s="44" t="s">
        <v>35</v>
      </c>
      <c r="K5" s="44">
        <v>85301</v>
      </c>
      <c r="L5" s="44" t="s">
        <v>45</v>
      </c>
      <c r="M5" s="44">
        <v>95.976000000000013</v>
      </c>
      <c r="N5" s="44"/>
      <c r="O5" s="44">
        <v>3</v>
      </c>
      <c r="P5" s="44">
        <v>0.2</v>
      </c>
      <c r="Q5" s="86">
        <v>27.791100000000004</v>
      </c>
    </row>
    <row r="6" spans="1:24" ht="15">
      <c r="A6" s="44">
        <v>1334</v>
      </c>
      <c r="B6" s="44" t="s">
        <v>314</v>
      </c>
      <c r="C6" s="85">
        <v>41686</v>
      </c>
      <c r="D6" s="85">
        <v>41691</v>
      </c>
      <c r="E6" s="44" t="s">
        <v>21</v>
      </c>
      <c r="F6" s="44" t="s">
        <v>315</v>
      </c>
      <c r="G6" s="44" t="s">
        <v>316</v>
      </c>
      <c r="H6" s="44" t="s">
        <v>41</v>
      </c>
      <c r="I6" s="44" t="s">
        <v>317</v>
      </c>
      <c r="J6" s="44" t="s">
        <v>308</v>
      </c>
      <c r="K6" s="44">
        <v>75220</v>
      </c>
      <c r="L6" s="44" t="s">
        <v>49</v>
      </c>
      <c r="M6" s="44">
        <v>7.9599999999999973</v>
      </c>
      <c r="N6" s="44"/>
      <c r="O6" s="44">
        <v>2</v>
      </c>
      <c r="P6" s="44">
        <v>0.8</v>
      </c>
      <c r="Q6" s="86">
        <v>37.996200000000002</v>
      </c>
    </row>
    <row r="7" spans="1:24" ht="15">
      <c r="A7" s="44">
        <v>1314</v>
      </c>
      <c r="B7" s="44" t="s">
        <v>322</v>
      </c>
      <c r="C7" s="85">
        <v>42637</v>
      </c>
      <c r="D7" s="85">
        <v>42644</v>
      </c>
      <c r="E7" s="44" t="s">
        <v>21</v>
      </c>
      <c r="F7" s="44" t="s">
        <v>323</v>
      </c>
      <c r="G7" s="44" t="s">
        <v>324</v>
      </c>
      <c r="H7" s="44" t="s">
        <v>41</v>
      </c>
      <c r="I7" s="44" t="s">
        <v>113</v>
      </c>
      <c r="J7" s="44" t="s">
        <v>152</v>
      </c>
      <c r="K7" s="44">
        <v>43229</v>
      </c>
      <c r="L7" s="44" t="s">
        <v>28</v>
      </c>
      <c r="M7" s="44">
        <v>155.37199999999999</v>
      </c>
      <c r="N7" s="44"/>
      <c r="O7" s="44">
        <v>2</v>
      </c>
      <c r="P7" s="44">
        <v>0.3</v>
      </c>
      <c r="Q7" s="86">
        <v>2.4359999999999995</v>
      </c>
    </row>
    <row r="8" spans="1:24" ht="15">
      <c r="A8" s="44">
        <v>1115</v>
      </c>
      <c r="B8" s="44" t="s">
        <v>330</v>
      </c>
      <c r="C8" s="85">
        <v>43087</v>
      </c>
      <c r="D8" s="85">
        <v>43092</v>
      </c>
      <c r="E8" s="44" t="s">
        <v>105</v>
      </c>
      <c r="F8" s="44" t="s">
        <v>331</v>
      </c>
      <c r="G8" s="44" t="s">
        <v>332</v>
      </c>
      <c r="H8" s="44" t="s">
        <v>41</v>
      </c>
      <c r="I8" s="44" t="s">
        <v>333</v>
      </c>
      <c r="J8" s="44" t="s">
        <v>43</v>
      </c>
      <c r="K8" s="44">
        <v>92024</v>
      </c>
      <c r="L8" s="44" t="s">
        <v>28</v>
      </c>
      <c r="M8" s="44">
        <v>119.83299999999998</v>
      </c>
      <c r="N8" s="44"/>
      <c r="O8" s="44">
        <v>1</v>
      </c>
      <c r="P8" s="44">
        <v>0.15</v>
      </c>
      <c r="Q8" s="86">
        <v>4.3524000000000003</v>
      </c>
    </row>
    <row r="9" spans="1:24" ht="15">
      <c r="A9" s="44">
        <v>1271</v>
      </c>
      <c r="B9" s="44" t="s">
        <v>325</v>
      </c>
      <c r="C9" s="85">
        <v>42481</v>
      </c>
      <c r="D9" s="85">
        <v>42486</v>
      </c>
      <c r="E9" s="44" t="s">
        <v>21</v>
      </c>
      <c r="F9" s="44" t="s">
        <v>326</v>
      </c>
      <c r="G9" s="44" t="s">
        <v>327</v>
      </c>
      <c r="H9" s="44" t="s">
        <v>33</v>
      </c>
      <c r="I9" s="44" t="s">
        <v>328</v>
      </c>
      <c r="J9" s="44" t="s">
        <v>329</v>
      </c>
      <c r="K9" s="44">
        <v>60623</v>
      </c>
      <c r="L9" s="44" t="s">
        <v>49</v>
      </c>
      <c r="M9" s="44">
        <v>102.33600000000001</v>
      </c>
      <c r="N9" s="44"/>
      <c r="O9" s="44">
        <v>4</v>
      </c>
      <c r="P9" s="44">
        <v>0.2</v>
      </c>
      <c r="Q9" s="86">
        <v>56.577599999999961</v>
      </c>
    </row>
    <row r="10" spans="1:24" ht="15">
      <c r="A10" s="44">
        <v>1283</v>
      </c>
      <c r="B10" s="44" t="s">
        <v>318</v>
      </c>
      <c r="C10" s="85">
        <v>42834</v>
      </c>
      <c r="D10" s="85">
        <v>42836</v>
      </c>
      <c r="E10" s="44" t="s">
        <v>89</v>
      </c>
      <c r="F10" s="44" t="s">
        <v>319</v>
      </c>
      <c r="G10" s="44" t="s">
        <v>320</v>
      </c>
      <c r="H10" s="44" t="s">
        <v>41</v>
      </c>
      <c r="I10" s="44" t="s">
        <v>321</v>
      </c>
      <c r="J10" s="44" t="s">
        <v>154</v>
      </c>
      <c r="K10" s="44">
        <v>32216</v>
      </c>
      <c r="L10" s="44" t="s">
        <v>49</v>
      </c>
      <c r="M10" s="44">
        <v>17.430000000000003</v>
      </c>
      <c r="N10" s="44"/>
      <c r="O10" s="44">
        <v>1</v>
      </c>
      <c r="P10" s="44">
        <v>0.7</v>
      </c>
      <c r="Q10" s="86">
        <v>-29.481200000000022</v>
      </c>
    </row>
    <row r="11" spans="1:24" ht="15">
      <c r="A11" s="44">
        <v>1262</v>
      </c>
      <c r="B11" s="44" t="s">
        <v>309</v>
      </c>
      <c r="C11" s="85">
        <v>42671</v>
      </c>
      <c r="D11" s="85">
        <v>42678</v>
      </c>
      <c r="E11" s="44" t="s">
        <v>21</v>
      </c>
      <c r="F11" s="44" t="s">
        <v>310</v>
      </c>
      <c r="G11" s="44" t="s">
        <v>311</v>
      </c>
      <c r="H11" s="44" t="s">
        <v>33</v>
      </c>
      <c r="I11" s="44" t="s">
        <v>312</v>
      </c>
      <c r="J11" s="44" t="s">
        <v>313</v>
      </c>
      <c r="K11" s="44">
        <v>27834</v>
      </c>
      <c r="L11" s="44" t="s">
        <v>49</v>
      </c>
      <c r="M11" s="44">
        <v>17.616000000000003</v>
      </c>
      <c r="N11" s="44"/>
      <c r="O11" s="44">
        <v>4</v>
      </c>
      <c r="P11" s="44">
        <v>0.7</v>
      </c>
      <c r="Q11" s="86">
        <v>125.2691999999999</v>
      </c>
    </row>
    <row r="12" spans="1:24" ht="15">
      <c r="A12" s="46"/>
      <c r="B12" s="46"/>
      <c r="C12" s="87"/>
      <c r="D12" s="87"/>
      <c r="E12" s="46"/>
      <c r="F12" s="46"/>
      <c r="G12" s="46"/>
      <c r="H12" s="46"/>
      <c r="I12" s="46"/>
      <c r="J12" s="46"/>
      <c r="K12" s="46"/>
      <c r="L12" s="46"/>
      <c r="M12" s="46"/>
      <c r="N12" s="46"/>
      <c r="O12" s="46"/>
      <c r="P12" s="46"/>
      <c r="Q12" s="88"/>
    </row>
    <row r="13" spans="1:24" ht="60">
      <c r="A13" s="89" t="s">
        <v>341</v>
      </c>
      <c r="B13" s="90"/>
      <c r="C13" s="90"/>
      <c r="D13" s="90"/>
      <c r="E13" s="90"/>
      <c r="F13" s="90"/>
      <c r="G13" s="90"/>
    </row>
    <row r="14" spans="1:24" ht="14">
      <c r="A14" s="91"/>
      <c r="B14" s="90"/>
      <c r="C14" s="90"/>
      <c r="D14" s="90"/>
      <c r="E14" s="111"/>
      <c r="F14" s="90"/>
      <c r="G14" s="90"/>
    </row>
    <row r="15" spans="1:24" ht="14">
      <c r="A15" s="91"/>
      <c r="B15" s="90"/>
      <c r="C15" s="90"/>
      <c r="D15" s="90"/>
      <c r="E15" s="90"/>
      <c r="F15" s="90"/>
      <c r="G15" s="90"/>
      <c r="I15" s="92"/>
    </row>
    <row r="16" spans="1:24" ht="14">
      <c r="A16" s="91"/>
      <c r="B16" s="90"/>
      <c r="C16" s="90"/>
      <c r="D16" s="90"/>
      <c r="E16" s="90"/>
      <c r="F16" s="90"/>
      <c r="G16" s="90"/>
      <c r="I16" s="92"/>
    </row>
    <row r="17" spans="1:17" ht="14">
      <c r="A17" s="14" t="s">
        <v>342</v>
      </c>
      <c r="C17" s="90"/>
      <c r="D17" s="90"/>
      <c r="E17" s="90"/>
      <c r="F17" s="90"/>
      <c r="G17" s="90"/>
      <c r="I17" s="92"/>
    </row>
    <row r="18" spans="1:17" ht="14">
      <c r="A18" s="91"/>
      <c r="B18" s="90"/>
      <c r="C18" s="90"/>
      <c r="D18" s="90"/>
      <c r="E18" s="90"/>
      <c r="F18" s="90"/>
      <c r="G18" s="90"/>
    </row>
    <row r="19" spans="1:17" ht="14">
      <c r="A19" s="14" t="s">
        <v>343</v>
      </c>
      <c r="C19" s="90"/>
      <c r="D19" s="90"/>
      <c r="E19" s="90"/>
      <c r="F19" s="90"/>
      <c r="G19" s="90"/>
    </row>
    <row r="20" spans="1:17" ht="14">
      <c r="B20" s="90"/>
      <c r="C20" s="90"/>
      <c r="D20" s="90"/>
      <c r="E20" s="90"/>
      <c r="F20" s="90"/>
      <c r="G20" s="90"/>
    </row>
    <row r="21" spans="1:17" ht="14">
      <c r="A21" s="14" t="s">
        <v>344</v>
      </c>
      <c r="C21" s="90"/>
      <c r="D21" s="90"/>
      <c r="E21" s="90"/>
      <c r="F21" s="90"/>
      <c r="G21" s="90"/>
    </row>
    <row r="22" spans="1:17" ht="14">
      <c r="B22" s="90"/>
      <c r="C22" s="90"/>
      <c r="D22" s="90"/>
      <c r="E22" s="90"/>
      <c r="F22" s="90"/>
      <c r="G22" s="90"/>
    </row>
    <row r="23" spans="1:17" ht="14">
      <c r="A23" s="14" t="s">
        <v>345</v>
      </c>
      <c r="C23" s="90"/>
      <c r="D23" s="90"/>
      <c r="E23" s="90"/>
      <c r="F23" s="90"/>
      <c r="G23" s="90"/>
    </row>
    <row r="25" spans="1:17" ht="15">
      <c r="A25" s="93" t="s">
        <v>0</v>
      </c>
      <c r="B25" s="93" t="s">
        <v>1</v>
      </c>
      <c r="C25" s="93" t="s">
        <v>2</v>
      </c>
      <c r="D25" s="93" t="s">
        <v>3</v>
      </c>
      <c r="E25" s="93" t="s">
        <v>4</v>
      </c>
      <c r="F25" s="93" t="s">
        <v>18</v>
      </c>
      <c r="G25" s="93" t="s">
        <v>5</v>
      </c>
      <c r="H25" s="93" t="s">
        <v>6</v>
      </c>
      <c r="I25" s="93" t="s">
        <v>8</v>
      </c>
      <c r="J25" s="93" t="s">
        <v>9</v>
      </c>
      <c r="K25" s="93" t="s">
        <v>10</v>
      </c>
      <c r="L25" s="93" t="s">
        <v>12</v>
      </c>
      <c r="M25" s="93" t="s">
        <v>14</v>
      </c>
      <c r="N25" s="93" t="s">
        <v>303</v>
      </c>
      <c r="O25" s="93" t="s">
        <v>15</v>
      </c>
      <c r="P25" s="93" t="s">
        <v>16</v>
      </c>
      <c r="Q25" s="94" t="s">
        <v>17</v>
      </c>
    </row>
    <row r="26" spans="1:17" ht="15">
      <c r="A26" s="95">
        <v>1108</v>
      </c>
      <c r="B26" s="44" t="s">
        <v>304</v>
      </c>
      <c r="C26" s="85">
        <v>42693</v>
      </c>
      <c r="D26" s="85">
        <v>42698</v>
      </c>
      <c r="E26" s="44" t="s">
        <v>21</v>
      </c>
      <c r="F26" s="44" t="s">
        <v>305</v>
      </c>
      <c r="G26" s="44" t="s">
        <v>306</v>
      </c>
      <c r="H26" s="44" t="s">
        <v>41</v>
      </c>
      <c r="I26" s="44" t="s">
        <v>307</v>
      </c>
      <c r="J26" s="44" t="s">
        <v>308</v>
      </c>
      <c r="K26" s="44">
        <v>77041</v>
      </c>
      <c r="L26" s="44" t="s">
        <v>49</v>
      </c>
      <c r="M26" s="44">
        <v>10.779999999999996</v>
      </c>
      <c r="N26" s="44"/>
      <c r="O26" s="44">
        <v>5</v>
      </c>
      <c r="P26" s="44">
        <v>0.8</v>
      </c>
      <c r="Q26" s="86">
        <v>85.247500000000002</v>
      </c>
    </row>
    <row r="27" spans="1:17" ht="15">
      <c r="A27" s="95">
        <v>1106</v>
      </c>
      <c r="B27" s="44" t="s">
        <v>304</v>
      </c>
      <c r="C27" s="85">
        <v>42693</v>
      </c>
      <c r="D27" s="85">
        <v>42698</v>
      </c>
      <c r="E27" s="44" t="s">
        <v>21</v>
      </c>
      <c r="F27" s="44" t="s">
        <v>305</v>
      </c>
      <c r="G27" s="44" t="s">
        <v>306</v>
      </c>
      <c r="H27" s="44" t="s">
        <v>41</v>
      </c>
      <c r="I27" s="44" t="s">
        <v>307</v>
      </c>
      <c r="J27" s="44" t="s">
        <v>308</v>
      </c>
      <c r="K27" s="44">
        <v>77041</v>
      </c>
      <c r="L27" s="44" t="s">
        <v>49</v>
      </c>
      <c r="M27" s="44">
        <v>100.70400000000001</v>
      </c>
      <c r="N27" s="44"/>
      <c r="O27" s="44">
        <v>6</v>
      </c>
      <c r="P27" s="44">
        <v>0.2</v>
      </c>
      <c r="Q27" s="86">
        <v>-3.8385000000000105</v>
      </c>
    </row>
    <row r="28" spans="1:17" ht="15">
      <c r="A28" s="95">
        <v>1262</v>
      </c>
      <c r="B28" s="44" t="s">
        <v>309</v>
      </c>
      <c r="C28" s="85">
        <v>42671</v>
      </c>
      <c r="D28" s="85">
        <v>42678</v>
      </c>
      <c r="E28" s="44" t="s">
        <v>21</v>
      </c>
      <c r="F28" s="44" t="s">
        <v>310</v>
      </c>
      <c r="G28" s="44" t="s">
        <v>311</v>
      </c>
      <c r="H28" s="44" t="s">
        <v>33</v>
      </c>
      <c r="I28" s="44" t="s">
        <v>312</v>
      </c>
      <c r="J28" s="44" t="s">
        <v>313</v>
      </c>
      <c r="K28" s="44">
        <v>27834</v>
      </c>
      <c r="L28" s="44" t="s">
        <v>49</v>
      </c>
      <c r="M28" s="44">
        <v>17.616000000000003</v>
      </c>
      <c r="N28" s="44"/>
      <c r="O28" s="44">
        <v>4</v>
      </c>
      <c r="P28" s="44">
        <v>0.7</v>
      </c>
      <c r="Q28" s="86">
        <v>125.2691999999999</v>
      </c>
    </row>
    <row r="29" spans="1:17" ht="15">
      <c r="A29" s="95">
        <v>1334</v>
      </c>
      <c r="B29" s="44" t="s">
        <v>314</v>
      </c>
      <c r="C29" s="85">
        <v>41686</v>
      </c>
      <c r="D29" s="85">
        <v>41691</v>
      </c>
      <c r="E29" s="44" t="s">
        <v>21</v>
      </c>
      <c r="F29" s="44" t="s">
        <v>315</v>
      </c>
      <c r="G29" s="44" t="s">
        <v>316</v>
      </c>
      <c r="H29" s="44" t="s">
        <v>41</v>
      </c>
      <c r="I29" s="44" t="s">
        <v>317</v>
      </c>
      <c r="J29" s="44" t="s">
        <v>308</v>
      </c>
      <c r="K29" s="44">
        <v>75220</v>
      </c>
      <c r="L29" s="44" t="s">
        <v>49</v>
      </c>
      <c r="M29" s="44">
        <v>7.9599999999999973</v>
      </c>
      <c r="N29" s="44"/>
      <c r="O29" s="44">
        <v>2</v>
      </c>
      <c r="P29" s="44">
        <v>0.8</v>
      </c>
      <c r="Q29" s="86">
        <v>37.996200000000002</v>
      </c>
    </row>
    <row r="30" spans="1:17" ht="15">
      <c r="A30" s="95">
        <v>1283</v>
      </c>
      <c r="B30" s="44" t="s">
        <v>318</v>
      </c>
      <c r="C30" s="85">
        <v>42834</v>
      </c>
      <c r="D30" s="85">
        <v>42836</v>
      </c>
      <c r="E30" s="44" t="s">
        <v>89</v>
      </c>
      <c r="F30" s="44" t="s">
        <v>319</v>
      </c>
      <c r="G30" s="44" t="s">
        <v>320</v>
      </c>
      <c r="H30" s="44" t="s">
        <v>41</v>
      </c>
      <c r="I30" s="44" t="s">
        <v>321</v>
      </c>
      <c r="J30" s="44" t="s">
        <v>154</v>
      </c>
      <c r="K30" s="44">
        <v>32216</v>
      </c>
      <c r="L30" s="44" t="s">
        <v>49</v>
      </c>
      <c r="M30" s="44">
        <v>17.430000000000003</v>
      </c>
      <c r="N30" s="44"/>
      <c r="O30" s="44">
        <v>1</v>
      </c>
      <c r="P30" s="44">
        <v>0.7</v>
      </c>
      <c r="Q30" s="86">
        <v>-29.481200000000022</v>
      </c>
    </row>
    <row r="31" spans="1:17" ht="15">
      <c r="A31" s="95">
        <v>1314</v>
      </c>
      <c r="B31" s="44" t="s">
        <v>322</v>
      </c>
      <c r="C31" s="85">
        <v>42637</v>
      </c>
      <c r="D31" s="85">
        <v>42644</v>
      </c>
      <c r="E31" s="44" t="s">
        <v>21</v>
      </c>
      <c r="F31" s="44" t="s">
        <v>323</v>
      </c>
      <c r="G31" s="44" t="s">
        <v>324</v>
      </c>
      <c r="H31" s="44" t="s">
        <v>41</v>
      </c>
      <c r="I31" s="44" t="s">
        <v>113</v>
      </c>
      <c r="J31" s="44" t="s">
        <v>152</v>
      </c>
      <c r="K31" s="44">
        <v>43229</v>
      </c>
      <c r="L31" s="44" t="s">
        <v>28</v>
      </c>
      <c r="M31" s="44">
        <v>155.37199999999999</v>
      </c>
      <c r="N31" s="44"/>
      <c r="O31" s="44">
        <v>2</v>
      </c>
      <c r="P31" s="44">
        <v>0.3</v>
      </c>
      <c r="Q31" s="86">
        <v>2.4359999999999995</v>
      </c>
    </row>
    <row r="32" spans="1:17" ht="15">
      <c r="A32" s="95">
        <v>1271</v>
      </c>
      <c r="B32" s="44" t="s">
        <v>325</v>
      </c>
      <c r="C32" s="85">
        <v>42481</v>
      </c>
      <c r="D32" s="85">
        <v>42486</v>
      </c>
      <c r="E32" s="44" t="s">
        <v>21</v>
      </c>
      <c r="F32" s="44" t="s">
        <v>326</v>
      </c>
      <c r="G32" s="44" t="s">
        <v>327</v>
      </c>
      <c r="H32" s="44" t="s">
        <v>33</v>
      </c>
      <c r="I32" s="44" t="s">
        <v>328</v>
      </c>
      <c r="J32" s="44" t="s">
        <v>329</v>
      </c>
      <c r="K32" s="44">
        <v>60623</v>
      </c>
      <c r="L32" s="44" t="s">
        <v>49</v>
      </c>
      <c r="M32" s="44">
        <v>102.33600000000001</v>
      </c>
      <c r="N32" s="44"/>
      <c r="O32" s="44">
        <v>4</v>
      </c>
      <c r="P32" s="44">
        <v>0.2</v>
      </c>
      <c r="Q32" s="86">
        <v>56.577599999999961</v>
      </c>
    </row>
    <row r="33" spans="1:17" ht="15">
      <c r="A33" s="95">
        <v>1115</v>
      </c>
      <c r="B33" s="44" t="s">
        <v>330</v>
      </c>
      <c r="C33" s="85">
        <v>43087</v>
      </c>
      <c r="D33" s="85">
        <v>43092</v>
      </c>
      <c r="E33" s="44" t="s">
        <v>105</v>
      </c>
      <c r="F33" s="44" t="s">
        <v>331</v>
      </c>
      <c r="G33" s="44" t="s">
        <v>332</v>
      </c>
      <c r="H33" s="44" t="s">
        <v>41</v>
      </c>
      <c r="I33" s="44" t="s">
        <v>333</v>
      </c>
      <c r="J33" s="44" t="s">
        <v>43</v>
      </c>
      <c r="K33" s="44">
        <v>92024</v>
      </c>
      <c r="L33" s="44" t="s">
        <v>28</v>
      </c>
      <c r="M33" s="44">
        <v>119.83299999999998</v>
      </c>
      <c r="N33" s="44"/>
      <c r="O33" s="44">
        <v>1</v>
      </c>
      <c r="P33" s="44">
        <v>0.15</v>
      </c>
      <c r="Q33" s="86">
        <v>4.3524000000000003</v>
      </c>
    </row>
    <row r="34" spans="1:17" ht="15">
      <c r="A34" s="95">
        <v>1342</v>
      </c>
      <c r="B34" s="44" t="s">
        <v>334</v>
      </c>
      <c r="C34" s="85">
        <v>42737</v>
      </c>
      <c r="D34" s="85">
        <v>42739</v>
      </c>
      <c r="E34" s="44" t="s">
        <v>89</v>
      </c>
      <c r="F34" s="44" t="s">
        <v>335</v>
      </c>
      <c r="G34" s="44" t="s">
        <v>336</v>
      </c>
      <c r="H34" s="44" t="s">
        <v>33</v>
      </c>
      <c r="I34" s="44" t="s">
        <v>321</v>
      </c>
      <c r="J34" s="44" t="s">
        <v>313</v>
      </c>
      <c r="K34" s="44">
        <v>28540</v>
      </c>
      <c r="L34" s="44" t="s">
        <v>49</v>
      </c>
      <c r="M34" s="44">
        <v>15.66</v>
      </c>
      <c r="N34" s="44"/>
      <c r="O34" s="44">
        <v>5</v>
      </c>
      <c r="P34" s="44">
        <v>0.7</v>
      </c>
      <c r="Q34" s="86">
        <v>22.763999999999996</v>
      </c>
    </row>
    <row r="35" spans="1:17" ht="15">
      <c r="A35" s="96">
        <v>1467</v>
      </c>
      <c r="B35" s="97" t="s">
        <v>337</v>
      </c>
      <c r="C35" s="98">
        <v>41859</v>
      </c>
      <c r="D35" s="98">
        <v>41865</v>
      </c>
      <c r="E35" s="97" t="s">
        <v>21</v>
      </c>
      <c r="F35" s="97" t="s">
        <v>338</v>
      </c>
      <c r="G35" s="97" t="s">
        <v>339</v>
      </c>
      <c r="H35" s="97" t="s">
        <v>41</v>
      </c>
      <c r="I35" s="97" t="s">
        <v>340</v>
      </c>
      <c r="J35" s="97" t="s">
        <v>35</v>
      </c>
      <c r="K35" s="97">
        <v>85301</v>
      </c>
      <c r="L35" s="97" t="s">
        <v>45</v>
      </c>
      <c r="M35" s="97">
        <v>95.976000000000013</v>
      </c>
      <c r="N35" s="97"/>
      <c r="O35" s="97">
        <v>3</v>
      </c>
      <c r="P35" s="97">
        <v>0.2</v>
      </c>
      <c r="Q35" s="99">
        <v>27.791100000000004</v>
      </c>
    </row>
    <row r="36" spans="1:17" ht="15">
      <c r="A36" s="100"/>
      <c r="B36" s="100"/>
      <c r="C36" s="101"/>
      <c r="D36" s="101"/>
      <c r="E36" s="100"/>
      <c r="F36" s="100"/>
      <c r="G36" s="100"/>
      <c r="H36" s="100"/>
      <c r="I36" s="100"/>
      <c r="J36" s="100"/>
      <c r="K36" s="100"/>
      <c r="L36" s="100"/>
      <c r="M36" s="100"/>
      <c r="N36" s="100"/>
      <c r="O36" s="100"/>
      <c r="P36" s="100"/>
      <c r="Q36" s="102"/>
    </row>
    <row r="38" spans="1:17">
      <c r="A38" s="14" t="s">
        <v>346</v>
      </c>
    </row>
    <row r="39" spans="1:17" ht="15">
      <c r="A39" s="93" t="s">
        <v>0</v>
      </c>
      <c r="B39" s="93" t="s">
        <v>1</v>
      </c>
      <c r="C39" s="93" t="s">
        <v>2</v>
      </c>
      <c r="D39" s="93" t="s">
        <v>3</v>
      </c>
      <c r="E39" s="93" t="s">
        <v>4</v>
      </c>
      <c r="F39" s="93" t="s">
        <v>18</v>
      </c>
      <c r="G39" s="93" t="s">
        <v>5</v>
      </c>
      <c r="H39" s="93" t="s">
        <v>6</v>
      </c>
      <c r="I39" s="93" t="s">
        <v>8</v>
      </c>
      <c r="J39" s="93" t="s">
        <v>9</v>
      </c>
      <c r="K39" s="93" t="s">
        <v>10</v>
      </c>
      <c r="L39" s="93" t="s">
        <v>12</v>
      </c>
      <c r="M39" s="93" t="s">
        <v>14</v>
      </c>
      <c r="N39" s="93" t="s">
        <v>303</v>
      </c>
      <c r="O39" s="93" t="s">
        <v>15</v>
      </c>
      <c r="P39" s="93" t="s">
        <v>16</v>
      </c>
      <c r="Q39" s="93" t="s">
        <v>17</v>
      </c>
    </row>
    <row r="40" spans="1:17" ht="15">
      <c r="A40" s="44">
        <v>1108</v>
      </c>
      <c r="B40" s="44" t="s">
        <v>304</v>
      </c>
      <c r="C40" s="85">
        <v>42693</v>
      </c>
      <c r="D40" s="85">
        <v>42698</v>
      </c>
      <c r="E40" s="44" t="s">
        <v>21</v>
      </c>
      <c r="F40" s="44" t="s">
        <v>305</v>
      </c>
      <c r="G40" s="44" t="s">
        <v>306</v>
      </c>
      <c r="H40" s="44" t="s">
        <v>41</v>
      </c>
      <c r="I40" s="44" t="s">
        <v>307</v>
      </c>
      <c r="J40" s="44" t="s">
        <v>308</v>
      </c>
      <c r="K40" s="44">
        <v>77041</v>
      </c>
      <c r="L40" s="44" t="s">
        <v>49</v>
      </c>
      <c r="M40" s="44">
        <v>10.779999999999996</v>
      </c>
      <c r="N40" s="44"/>
      <c r="O40" s="44">
        <v>5</v>
      </c>
      <c r="P40" s="44">
        <v>0.8</v>
      </c>
      <c r="Q40" s="86">
        <v>85.247500000000002</v>
      </c>
    </row>
    <row r="41" spans="1:17" ht="15">
      <c r="A41" s="44">
        <v>1106</v>
      </c>
      <c r="B41" s="44" t="s">
        <v>304</v>
      </c>
      <c r="C41" s="85">
        <v>42693</v>
      </c>
      <c r="D41" s="85">
        <v>42698</v>
      </c>
      <c r="E41" s="44" t="s">
        <v>21</v>
      </c>
      <c r="F41" s="44" t="s">
        <v>305</v>
      </c>
      <c r="G41" s="44" t="s">
        <v>306</v>
      </c>
      <c r="H41" s="44" t="s">
        <v>41</v>
      </c>
      <c r="I41" s="44" t="s">
        <v>307</v>
      </c>
      <c r="J41" s="44" t="s">
        <v>308</v>
      </c>
      <c r="K41" s="44">
        <v>77041</v>
      </c>
      <c r="L41" s="44" t="s">
        <v>49</v>
      </c>
      <c r="M41" s="44">
        <v>100.70400000000001</v>
      </c>
      <c r="N41" s="44"/>
      <c r="O41" s="44">
        <v>6</v>
      </c>
      <c r="P41" s="44">
        <v>0.2</v>
      </c>
      <c r="Q41" s="86">
        <v>-3.8385000000000105</v>
      </c>
    </row>
    <row r="42" spans="1:17" ht="15">
      <c r="A42" s="44">
        <v>1262</v>
      </c>
      <c r="B42" s="44" t="s">
        <v>309</v>
      </c>
      <c r="C42" s="85">
        <v>42671</v>
      </c>
      <c r="D42" s="85">
        <v>42678</v>
      </c>
      <c r="E42" s="44" t="s">
        <v>21</v>
      </c>
      <c r="F42" s="44" t="s">
        <v>310</v>
      </c>
      <c r="G42" s="44" t="s">
        <v>311</v>
      </c>
      <c r="H42" s="44" t="s">
        <v>33</v>
      </c>
      <c r="I42" s="44" t="s">
        <v>312</v>
      </c>
      <c r="J42" s="44" t="s">
        <v>313</v>
      </c>
      <c r="K42" s="44">
        <v>27834</v>
      </c>
      <c r="L42" s="44" t="s">
        <v>49</v>
      </c>
      <c r="M42" s="44">
        <v>17.616000000000003</v>
      </c>
      <c r="N42" s="44"/>
      <c r="O42" s="44">
        <v>4</v>
      </c>
      <c r="P42" s="44">
        <v>0.7</v>
      </c>
      <c r="Q42" s="86">
        <v>125.2691999999999</v>
      </c>
    </row>
    <row r="43" spans="1:17" ht="15">
      <c r="A43" s="44">
        <v>1334</v>
      </c>
      <c r="B43" s="44" t="s">
        <v>314</v>
      </c>
      <c r="C43" s="85">
        <v>41686</v>
      </c>
      <c r="D43" s="85">
        <v>41691</v>
      </c>
      <c r="E43" s="44" t="s">
        <v>21</v>
      </c>
      <c r="F43" s="44" t="s">
        <v>315</v>
      </c>
      <c r="G43" s="44" t="s">
        <v>316</v>
      </c>
      <c r="H43" s="44" t="s">
        <v>41</v>
      </c>
      <c r="I43" s="44" t="s">
        <v>317</v>
      </c>
      <c r="J43" s="44" t="s">
        <v>308</v>
      </c>
      <c r="K43" s="44">
        <v>75220</v>
      </c>
      <c r="L43" s="44" t="s">
        <v>49</v>
      </c>
      <c r="M43" s="44">
        <v>7.9599999999999973</v>
      </c>
      <c r="N43" s="44"/>
      <c r="O43" s="44">
        <v>2</v>
      </c>
      <c r="P43" s="44">
        <v>0.8</v>
      </c>
      <c r="Q43" s="86">
        <v>37.996200000000002</v>
      </c>
    </row>
    <row r="44" spans="1:17" ht="15">
      <c r="A44" s="44">
        <v>1283</v>
      </c>
      <c r="B44" s="44" t="s">
        <v>318</v>
      </c>
      <c r="C44" s="85">
        <v>42834</v>
      </c>
      <c r="D44" s="85">
        <v>42836</v>
      </c>
      <c r="E44" s="44" t="s">
        <v>89</v>
      </c>
      <c r="F44" s="44" t="s">
        <v>319</v>
      </c>
      <c r="G44" s="44" t="s">
        <v>320</v>
      </c>
      <c r="H44" s="44" t="s">
        <v>41</v>
      </c>
      <c r="I44" s="44" t="s">
        <v>321</v>
      </c>
      <c r="J44" s="44" t="s">
        <v>154</v>
      </c>
      <c r="K44" s="44">
        <v>32216</v>
      </c>
      <c r="L44" s="44" t="s">
        <v>49</v>
      </c>
      <c r="M44" s="44">
        <v>17.430000000000003</v>
      </c>
      <c r="N44" s="44"/>
      <c r="O44" s="44">
        <v>1</v>
      </c>
      <c r="P44" s="44">
        <v>0.7</v>
      </c>
      <c r="Q44" s="86">
        <v>-29.481200000000022</v>
      </c>
    </row>
    <row r="45" spans="1:17" ht="15">
      <c r="A45" s="44">
        <v>1314</v>
      </c>
      <c r="B45" s="44" t="s">
        <v>322</v>
      </c>
      <c r="C45" s="85">
        <v>42637</v>
      </c>
      <c r="D45" s="85">
        <v>42644</v>
      </c>
      <c r="E45" s="44" t="s">
        <v>21</v>
      </c>
      <c r="F45" s="44" t="s">
        <v>323</v>
      </c>
      <c r="G45" s="44" t="s">
        <v>324</v>
      </c>
      <c r="H45" s="44" t="s">
        <v>41</v>
      </c>
      <c r="I45" s="44" t="s">
        <v>113</v>
      </c>
      <c r="J45" s="44" t="s">
        <v>152</v>
      </c>
      <c r="K45" s="44">
        <v>43229</v>
      </c>
      <c r="L45" s="44" t="s">
        <v>28</v>
      </c>
      <c r="M45" s="44">
        <v>155.37199999999999</v>
      </c>
      <c r="N45" s="44"/>
      <c r="O45" s="44">
        <v>2</v>
      </c>
      <c r="P45" s="44">
        <v>0.3</v>
      </c>
      <c r="Q45" s="86">
        <v>2.4359999999999995</v>
      </c>
    </row>
    <row r="46" spans="1:17" ht="15">
      <c r="A46" s="44">
        <v>1271</v>
      </c>
      <c r="B46" s="44" t="s">
        <v>325</v>
      </c>
      <c r="C46" s="85">
        <v>42481</v>
      </c>
      <c r="D46" s="85">
        <v>42486</v>
      </c>
      <c r="E46" s="44" t="s">
        <v>21</v>
      </c>
      <c r="F46" s="44" t="s">
        <v>326</v>
      </c>
      <c r="G46" s="44" t="s">
        <v>327</v>
      </c>
      <c r="H46" s="44" t="s">
        <v>33</v>
      </c>
      <c r="I46" s="44" t="s">
        <v>328</v>
      </c>
      <c r="J46" s="44" t="s">
        <v>329</v>
      </c>
      <c r="K46" s="44">
        <v>60623</v>
      </c>
      <c r="L46" s="44" t="s">
        <v>49</v>
      </c>
      <c r="M46" s="44">
        <v>102.33600000000001</v>
      </c>
      <c r="N46" s="44"/>
      <c r="O46" s="44">
        <v>4</v>
      </c>
      <c r="P46" s="44">
        <v>0.2</v>
      </c>
      <c r="Q46" s="86">
        <v>56.577599999999961</v>
      </c>
    </row>
    <row r="47" spans="1:17" ht="15">
      <c r="A47" s="44">
        <v>1115</v>
      </c>
      <c r="B47" s="44" t="s">
        <v>330</v>
      </c>
      <c r="C47" s="85">
        <v>43087</v>
      </c>
      <c r="D47" s="85">
        <v>43092</v>
      </c>
      <c r="E47" s="44" t="s">
        <v>105</v>
      </c>
      <c r="F47" s="44" t="s">
        <v>331</v>
      </c>
      <c r="G47" s="44" t="s">
        <v>332</v>
      </c>
      <c r="H47" s="44" t="s">
        <v>41</v>
      </c>
      <c r="I47" s="44" t="s">
        <v>333</v>
      </c>
      <c r="J47" s="44" t="s">
        <v>43</v>
      </c>
      <c r="K47" s="44">
        <v>92024</v>
      </c>
      <c r="L47" s="44" t="s">
        <v>28</v>
      </c>
      <c r="M47" s="44">
        <v>119.83299999999998</v>
      </c>
      <c r="N47" s="44"/>
      <c r="O47" s="44">
        <v>1</v>
      </c>
      <c r="P47" s="44">
        <v>0.15</v>
      </c>
      <c r="Q47" s="86">
        <v>4.3524000000000003</v>
      </c>
    </row>
    <row r="48" spans="1:17" ht="15">
      <c r="A48" s="44">
        <v>1342</v>
      </c>
      <c r="B48" s="44" t="s">
        <v>334</v>
      </c>
      <c r="C48" s="85">
        <v>42737</v>
      </c>
      <c r="D48" s="85">
        <v>42739</v>
      </c>
      <c r="E48" s="44" t="s">
        <v>89</v>
      </c>
      <c r="F48" s="44" t="s">
        <v>335</v>
      </c>
      <c r="G48" s="44" t="s">
        <v>336</v>
      </c>
      <c r="H48" s="44" t="s">
        <v>33</v>
      </c>
      <c r="I48" s="44" t="s">
        <v>321</v>
      </c>
      <c r="J48" s="44" t="s">
        <v>313</v>
      </c>
      <c r="K48" s="44">
        <v>28540</v>
      </c>
      <c r="L48" s="44" t="s">
        <v>49</v>
      </c>
      <c r="M48" s="44">
        <v>15.66</v>
      </c>
      <c r="N48" s="44"/>
      <c r="O48" s="44">
        <v>5</v>
      </c>
      <c r="P48" s="44">
        <v>0.7</v>
      </c>
      <c r="Q48" s="86">
        <v>22.763999999999996</v>
      </c>
    </row>
    <row r="50" spans="1:24">
      <c r="A50" s="103" t="s">
        <v>347</v>
      </c>
    </row>
    <row r="51" spans="1:24">
      <c r="B51" s="103"/>
    </row>
    <row r="52" spans="1:24">
      <c r="A52" s="104" t="str">
        <f>CONCATENATE(B40," ",F40)</f>
        <v>US-2016-110156 EH-13945</v>
      </c>
      <c r="B52" s="14" t="str">
        <f>LEFT($A52,FIND(" ",A$52))</f>
        <v xml:space="preserve">US-2016-110156 </v>
      </c>
      <c r="C52" s="14" t="str">
        <f>RIGHT(A52,LEN(A52)-FIND(" ",A52))</f>
        <v>EH-13945</v>
      </c>
    </row>
    <row r="53" spans="1:24">
      <c r="A53" s="104" t="str">
        <f t="shared" ref="A53:A59" si="0">CONCATENATE(B41," ",F41)</f>
        <v>US-2016-110156 EH-13945</v>
      </c>
      <c r="B53" s="14" t="str">
        <f t="shared" ref="B53:B59" si="1">LEFT($A53,FIND(" ",A$52))</f>
        <v xml:space="preserve">US-2016-110156 </v>
      </c>
      <c r="C53" s="14" t="str">
        <f t="shared" ref="C53:C59" si="2">RIGHT(A53,LEN(A53)-FIND(" ",A53))</f>
        <v>EH-13945</v>
      </c>
    </row>
    <row r="54" spans="1:24">
      <c r="A54" s="104" t="str">
        <f t="shared" si="0"/>
        <v>US-2016-144393 SM-20950</v>
      </c>
      <c r="B54" s="14" t="str">
        <f t="shared" si="1"/>
        <v xml:space="preserve">US-2016-144393 </v>
      </c>
      <c r="C54" s="14" t="str">
        <f t="shared" si="2"/>
        <v>SM-20950</v>
      </c>
    </row>
    <row r="55" spans="1:24">
      <c r="A55" s="104" t="str">
        <f t="shared" si="0"/>
        <v>CA-2014-122567 MN-17935</v>
      </c>
      <c r="B55" s="14" t="str">
        <f t="shared" si="1"/>
        <v xml:space="preserve">CA-2014-122567 </v>
      </c>
      <c r="C55" s="14" t="str">
        <f t="shared" si="2"/>
        <v>MN-17935</v>
      </c>
    </row>
    <row r="56" spans="1:24">
      <c r="A56" s="104" t="str">
        <f t="shared" si="0"/>
        <v>CA-2017-122154 SA-20830</v>
      </c>
      <c r="B56" s="14" t="str">
        <f t="shared" si="1"/>
        <v xml:space="preserve">CA-2017-122154 </v>
      </c>
      <c r="C56" s="14" t="str">
        <f t="shared" si="2"/>
        <v>SA-20830</v>
      </c>
    </row>
    <row r="57" spans="1:24">
      <c r="A57" s="104" t="str">
        <f t="shared" si="0"/>
        <v>US-2016-134488 PK-19075</v>
      </c>
      <c r="B57" s="14" t="str">
        <f t="shared" si="1"/>
        <v xml:space="preserve">US-2016-134488 </v>
      </c>
      <c r="C57" s="14" t="str">
        <f t="shared" si="2"/>
        <v>PK-19075</v>
      </c>
    </row>
    <row r="58" spans="1:24">
      <c r="A58" s="104" t="str">
        <f t="shared" si="0"/>
        <v>US-2016-103646 SP-20545</v>
      </c>
      <c r="B58" s="14" t="str">
        <f t="shared" si="1"/>
        <v xml:space="preserve">US-2016-103646 </v>
      </c>
      <c r="C58" s="14" t="str">
        <f t="shared" si="2"/>
        <v>SP-20545</v>
      </c>
    </row>
    <row r="59" spans="1:24" s="84" customFormat="1">
      <c r="A59" s="104" t="str">
        <f t="shared" si="0"/>
        <v>CA-2017-140585 RA-19915</v>
      </c>
      <c r="B59" s="14" t="str">
        <f t="shared" si="1"/>
        <v xml:space="preserve">CA-2017-140585 </v>
      </c>
      <c r="C59" s="14" t="str">
        <f t="shared" si="2"/>
        <v>RA-19915</v>
      </c>
      <c r="D59" s="14"/>
      <c r="E59" s="14"/>
      <c r="F59" s="14"/>
      <c r="G59" s="14"/>
      <c r="H59" s="14"/>
      <c r="I59" s="14"/>
      <c r="J59" s="14"/>
      <c r="K59" s="14"/>
      <c r="L59" s="14"/>
      <c r="M59" s="14"/>
      <c r="N59" s="14"/>
      <c r="O59" s="14"/>
      <c r="P59" s="14"/>
      <c r="Q59" s="14"/>
      <c r="R59" s="83"/>
      <c r="S59" s="83"/>
      <c r="T59" s="83"/>
      <c r="U59" s="83"/>
      <c r="V59" s="83"/>
      <c r="W59" s="83"/>
      <c r="X59" s="83"/>
    </row>
    <row r="61" spans="1:24">
      <c r="A61" s="105" t="s">
        <v>348</v>
      </c>
      <c r="E61" s="78"/>
      <c r="F61" s="78"/>
      <c r="G61" s="78"/>
    </row>
    <row r="62" spans="1:24" ht="15">
      <c r="A62" s="106" t="s">
        <v>349</v>
      </c>
      <c r="B62" s="106" t="s">
        <v>350</v>
      </c>
      <c r="C62" s="107" t="s">
        <v>351</v>
      </c>
      <c r="D62" s="108"/>
      <c r="E62" s="78"/>
      <c r="F62" s="78"/>
      <c r="G62" s="78"/>
    </row>
    <row r="63" spans="1:24">
      <c r="A63" s="45" t="s">
        <v>362</v>
      </c>
      <c r="B63" s="104" t="s">
        <v>88</v>
      </c>
      <c r="C63" s="109" t="s">
        <v>90</v>
      </c>
      <c r="E63" s="78"/>
      <c r="F63" s="78"/>
      <c r="G63" s="78"/>
    </row>
    <row r="64" spans="1:24">
      <c r="A64" s="45" t="s">
        <v>363</v>
      </c>
      <c r="B64" s="104" t="s">
        <v>118</v>
      </c>
      <c r="C64" s="109" t="s">
        <v>119</v>
      </c>
      <c r="E64" s="78"/>
      <c r="F64" s="78"/>
      <c r="G64" s="78"/>
    </row>
    <row r="65" spans="1:7">
      <c r="A65" s="45" t="s">
        <v>364</v>
      </c>
      <c r="B65" s="104" t="s">
        <v>39</v>
      </c>
      <c r="C65" s="109" t="s">
        <v>40</v>
      </c>
      <c r="E65" s="78"/>
      <c r="F65" s="78"/>
      <c r="G65" s="78"/>
    </row>
    <row r="66" spans="1:7">
      <c r="A66" s="45" t="s">
        <v>365</v>
      </c>
      <c r="B66" s="104" t="s">
        <v>51</v>
      </c>
      <c r="C66" s="109" t="s">
        <v>52</v>
      </c>
      <c r="E66" s="78"/>
      <c r="F66" s="78"/>
      <c r="G66" s="78"/>
    </row>
    <row r="67" spans="1:7">
      <c r="A67" s="45" t="s">
        <v>366</v>
      </c>
      <c r="B67" s="104" t="s">
        <v>118</v>
      </c>
      <c r="C67" s="109" t="s">
        <v>119</v>
      </c>
      <c r="E67" s="78"/>
      <c r="F67" s="78"/>
      <c r="G67" s="78"/>
    </row>
    <row r="68" spans="1:7">
      <c r="A68" s="45" t="s">
        <v>367</v>
      </c>
      <c r="B68" s="104" t="s">
        <v>68</v>
      </c>
      <c r="C68" s="109" t="s">
        <v>69</v>
      </c>
      <c r="E68" s="78"/>
      <c r="F68" s="78"/>
      <c r="G68" s="78"/>
    </row>
    <row r="69" spans="1:7">
      <c r="A69" s="45" t="s">
        <v>368</v>
      </c>
      <c r="B69" s="104" t="s">
        <v>352</v>
      </c>
      <c r="C69" s="109" t="s">
        <v>353</v>
      </c>
      <c r="E69" s="78"/>
      <c r="F69" s="78"/>
      <c r="G69" s="78"/>
    </row>
    <row r="70" spans="1:7">
      <c r="A70" s="45" t="s">
        <v>369</v>
      </c>
      <c r="B70" s="104" t="s">
        <v>352</v>
      </c>
      <c r="C70" s="109" t="s">
        <v>353</v>
      </c>
      <c r="E70" s="78"/>
      <c r="F70" s="78"/>
      <c r="G70" s="78"/>
    </row>
    <row r="71" spans="1:7">
      <c r="A71" s="45" t="s">
        <v>370</v>
      </c>
      <c r="B71" s="104" t="s">
        <v>354</v>
      </c>
      <c r="C71" s="109" t="s">
        <v>355</v>
      </c>
      <c r="E71" s="78"/>
      <c r="F71" s="78"/>
      <c r="G71" s="78"/>
    </row>
    <row r="72" spans="1:7">
      <c r="A72" s="45" t="s">
        <v>371</v>
      </c>
      <c r="B72" s="104" t="s">
        <v>118</v>
      </c>
      <c r="C72" s="109" t="s">
        <v>119</v>
      </c>
      <c r="E72" s="78"/>
      <c r="F72" s="78"/>
      <c r="G72" s="78"/>
    </row>
    <row r="75" spans="1:7">
      <c r="A75" s="14" t="s">
        <v>356</v>
      </c>
    </row>
    <row r="76" spans="1:7" ht="15">
      <c r="A76" s="110" t="s">
        <v>357</v>
      </c>
    </row>
    <row r="77" spans="1:7">
      <c r="A77" s="104">
        <f ca="1">RANDBETWEEN("6000",6500)</f>
        <v>6281</v>
      </c>
    </row>
    <row r="78" spans="1:7">
      <c r="A78" s="104">
        <f t="shared" ref="A78:A80" ca="1" si="3">RANDBETWEEN("6000",6500)</f>
        <v>6023</v>
      </c>
    </row>
    <row r="79" spans="1:7">
      <c r="A79" s="104">
        <f t="shared" ca="1" si="3"/>
        <v>6397</v>
      </c>
    </row>
    <row r="80" spans="1:7">
      <c r="A80" s="104">
        <f t="shared" ca="1" si="3"/>
        <v>6158</v>
      </c>
    </row>
    <row r="81" spans="1:24" s="84" customFormat="1">
      <c r="R81" s="83"/>
      <c r="S81" s="83"/>
      <c r="T81" s="83"/>
      <c r="U81" s="83"/>
      <c r="V81" s="83"/>
      <c r="W81" s="83"/>
      <c r="X81" s="83"/>
    </row>
    <row r="82" spans="1:24">
      <c r="A82" s="14" t="s">
        <v>358</v>
      </c>
    </row>
    <row r="83" spans="1:24">
      <c r="A83" s="45">
        <v>2400</v>
      </c>
    </row>
    <row r="84" spans="1:24">
      <c r="A84" s="45">
        <v>3200</v>
      </c>
    </row>
    <row r="85" spans="1:24">
      <c r="A85" s="45">
        <v>2300</v>
      </c>
    </row>
    <row r="86" spans="1:24">
      <c r="A86" s="45">
        <v>5600</v>
      </c>
    </row>
    <row r="87" spans="1:24">
      <c r="A87" s="45">
        <v>1800</v>
      </c>
    </row>
    <row r="88" spans="1:24">
      <c r="A88" s="45">
        <v>6700</v>
      </c>
    </row>
    <row r="89" spans="1:24">
      <c r="A89" s="45">
        <v>6200</v>
      </c>
    </row>
    <row r="90" spans="1:24">
      <c r="A90" s="45">
        <v>1200</v>
      </c>
    </row>
    <row r="93" spans="1:24">
      <c r="A93" s="14" t="s">
        <v>359</v>
      </c>
    </row>
    <row r="94" spans="1:24" ht="15">
      <c r="A94" s="82" t="s">
        <v>5</v>
      </c>
      <c r="B94" s="45" t="s">
        <v>360</v>
      </c>
      <c r="C94" s="45" t="s">
        <v>361</v>
      </c>
    </row>
    <row r="95" spans="1:24" ht="15">
      <c r="A95" s="44" t="s">
        <v>306</v>
      </c>
      <c r="B95" s="45" t="str">
        <f>LEFT(A95,FIND(" ",A95))</f>
        <v xml:space="preserve">Eric </v>
      </c>
      <c r="C95" s="45" t="str">
        <f>RIGHT(A95,LEN(A95)-FIND(" ",A95))</f>
        <v>Hoffmann</v>
      </c>
    </row>
    <row r="96" spans="1:24" ht="15">
      <c r="A96" s="44" t="s">
        <v>306</v>
      </c>
      <c r="B96" s="45" t="str">
        <f t="shared" ref="B96:B103" si="4">LEFT(A96,FIND(" ",A96))</f>
        <v xml:space="preserve">Eric </v>
      </c>
      <c r="C96" s="45" t="str">
        <f t="shared" ref="C96:C103" si="5">RIGHT(A96,LEN(A96)-FIND(" ",A96))</f>
        <v>Hoffmann</v>
      </c>
    </row>
    <row r="97" spans="1:3" ht="15">
      <c r="A97" s="44" t="s">
        <v>311</v>
      </c>
      <c r="B97" s="45" t="str">
        <f t="shared" si="4"/>
        <v xml:space="preserve">Suzanne </v>
      </c>
      <c r="C97" s="45" t="str">
        <f t="shared" si="5"/>
        <v>McNair</v>
      </c>
    </row>
    <row r="98" spans="1:3" ht="15">
      <c r="A98" s="44" t="s">
        <v>316</v>
      </c>
      <c r="B98" s="45" t="str">
        <f t="shared" si="4"/>
        <v xml:space="preserve">Michael </v>
      </c>
      <c r="C98" s="45" t="str">
        <f t="shared" si="5"/>
        <v>Nguyen</v>
      </c>
    </row>
    <row r="99" spans="1:3" ht="15">
      <c r="A99" s="44" t="s">
        <v>320</v>
      </c>
      <c r="B99" s="45" t="str">
        <f t="shared" si="4"/>
        <v xml:space="preserve">Sue </v>
      </c>
      <c r="C99" s="45" t="str">
        <f t="shared" si="5"/>
        <v>Ann Reed</v>
      </c>
    </row>
    <row r="100" spans="1:3" ht="15">
      <c r="A100" s="44" t="s">
        <v>324</v>
      </c>
      <c r="B100" s="45" t="str">
        <f t="shared" si="4"/>
        <v xml:space="preserve">Pete </v>
      </c>
      <c r="C100" s="45" t="str">
        <f t="shared" si="5"/>
        <v>Kriz</v>
      </c>
    </row>
    <row r="101" spans="1:3" ht="15">
      <c r="A101" s="44" t="s">
        <v>327</v>
      </c>
      <c r="B101" s="45" t="str">
        <f t="shared" si="4"/>
        <v xml:space="preserve">Sibella </v>
      </c>
      <c r="C101" s="45" t="str">
        <f t="shared" si="5"/>
        <v>Parks</v>
      </c>
    </row>
    <row r="102" spans="1:3" ht="15">
      <c r="A102" s="44" t="s">
        <v>332</v>
      </c>
      <c r="B102" s="45" t="str">
        <f t="shared" si="4"/>
        <v xml:space="preserve">Russell </v>
      </c>
      <c r="C102" s="45" t="str">
        <f t="shared" si="5"/>
        <v>Applegate</v>
      </c>
    </row>
    <row r="103" spans="1:3" ht="15">
      <c r="A103" s="44" t="s">
        <v>336</v>
      </c>
      <c r="B103" s="45" t="str">
        <f t="shared" si="4"/>
        <v xml:space="preserve">Aaron </v>
      </c>
      <c r="C103" s="45" t="str">
        <f t="shared" si="5"/>
        <v>Smayling</v>
      </c>
    </row>
    <row r="104" spans="1:3">
      <c r="B104" s="13"/>
      <c r="C104" s="13"/>
    </row>
  </sheetData>
  <sortState xmlns:xlrd2="http://schemas.microsoft.com/office/spreadsheetml/2017/richdata2" ref="A2:Q11">
    <sortCondition ref="G2:G11"/>
  </sortState>
  <conditionalFormatting sqref="M2:M11">
    <cfRule type="cellIs" dxfId="19" priority="9" operator="lessThan">
      <formula>10</formula>
    </cfRule>
    <cfRule type="cellIs" dxfId="20" priority="8" operator="greaterThan">
      <formula>100</formula>
    </cfRule>
  </conditionalFormatting>
  <conditionalFormatting sqref="B2:B11">
    <cfRule type="expression" priority="7">
      <formula>$D$2-$C$2&gt;3</formula>
    </cfRule>
    <cfRule type="expression" dxfId="5" priority="6">
      <formula>$D$2-$C$2&gt;3</formula>
    </cfRule>
    <cfRule type="expression" dxfId="6" priority="5">
      <formula>$D$2-$C$2&gt;3</formula>
    </cfRule>
    <cfRule type="expression" dxfId="7" priority="4">
      <formula>$C$2-$D$2&gt;3</formula>
    </cfRule>
    <cfRule type="expression" dxfId="8" priority="3">
      <formula>$D$2-$C$2&gt;3</formula>
    </cfRule>
    <cfRule type="expression" priority="2">
      <formula>$D$3-$C$3&gt;3</formula>
    </cfRule>
    <cfRule type="expression" dxfId="4" priority="1">
      <formula>$D2-$C2&gt;3</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Report</vt:lpstr>
      <vt:lpstr>practice Questions</vt:lpstr>
      <vt:lpstr>Text to Column</vt:lpstr>
      <vt:lpstr>Date</vt:lpstr>
      <vt:lpstr>Time</vt:lpstr>
      <vt:lpstr>Text Functions</vt:lpstr>
      <vt:lpstr>Exercise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Rupali Saxena</dc:creator>
  <cp:lastModifiedBy>DELL</cp:lastModifiedBy>
  <dcterms:created xsi:type="dcterms:W3CDTF">2025-09-11T03:07:57Z</dcterms:created>
  <dcterms:modified xsi:type="dcterms:W3CDTF">2026-03-28T13:08:16Z</dcterms:modified>
</cp:coreProperties>
</file>