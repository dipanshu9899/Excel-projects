
<file path=[Content_Types].xml><?xml version="1.0" encoding="utf-8"?>
<Types xmlns="http://schemas.openxmlformats.org/package/2006/content-type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05" yWindow="-105" windowWidth="20730" windowHeight="11760" activeTab="9"/>
  </bookViews>
  <sheets>
    <sheet name="Sales Report" sheetId="10" r:id="rId1"/>
    <sheet name="Date" sheetId="1" r:id="rId2"/>
    <sheet name="Time" sheetId="2" r:id="rId3"/>
    <sheet name="Logical Functions" sheetId="3" r:id="rId4"/>
    <sheet name="AND" sheetId="4" r:id="rId5"/>
    <sheet name="OR" sheetId="5" r:id="rId6"/>
    <sheet name="IF" sheetId="6" r:id="rId7"/>
    <sheet name="NOT" sheetId="7" r:id="rId8"/>
    <sheet name="Text" sheetId="8" r:id="rId9"/>
    <sheet name="Practice" sheetId="9" r:id="rId10"/>
  </sheets>
  <externalReferences>
    <externalReference r:id="rId11"/>
    <externalReference r:id="rId12"/>
    <externalReference r:id="rId13"/>
    <externalReference r:id="rId14"/>
  </externalReferences>
  <definedNames>
    <definedName name="_xlnm._FilterDatabase" localSheetId="9" hidden="1">Practice!$A$1:$W$25</definedName>
    <definedName name="_xlnm._FilterDatabase" localSheetId="0" hidden="1">'Sales Report'!$A$1:$AF$25</definedName>
    <definedName name="Amt">'[1]Name Ranges'!$D$10:$D$29</definedName>
    <definedName name="Cat">'[1]Name Ranges'!$C$10:$C$29</definedName>
    <definedName name="item_list">'[1]Name Ranges'!$B$9:$D$29</definedName>
    <definedName name="List1">OFFSET('[1]Dynamic Name range'!$D$27,0,0,COUNTA('[1]Dynamic Name range'!$D$27:$D$101),1)</definedName>
    <definedName name="List2">'[1]Dynamic Name range'!$D$28:INDEX('[1]Dynamic Name range'!$D$28:$D$101,COUNTA('[1]Dynamic Name range'!$D:$D))</definedName>
    <definedName name="No._of_Trades">#REF!:INDEX(#REF!,COUNTA(#REF!))</definedName>
    <definedName name="No.ofsharestraded" localSheetId="0">'[2]MATCH &amp; INDEX'!$H$5:$H$23</definedName>
    <definedName name="No.ofsharestraded">'[3]MATCH &amp; INDEX'!$H$5:$H$23</definedName>
    <definedName name="Salesquarter1">#REF!</definedName>
    <definedName name="Sharesheet">OFFSET([4]OFFSET!$A$22,,,COUNTA([4]OFFSET!$A:$A),COUNTA([4]OFFSET!$22:$22))</definedName>
    <definedName name="Traded_Contract__Lots">OFFSET('[1]Dynamic Name range'!$C$56,0,0,COUNTA('[1]Dynamic Name range'!$C$56:$C$100),1)</definedName>
    <definedName name="X">OFFSET([1]OFFSET!$D$23,0,0,COUNTA([1]OFFSET!$D$23:$D$99),1)</definedName>
  </definedNames>
  <calcPr calcId="124519"/>
</workbook>
</file>

<file path=xl/calcChain.xml><?xml version="1.0" encoding="utf-8"?>
<calcChain xmlns="http://schemas.openxmlformats.org/spreadsheetml/2006/main">
  <c r="B65" i="8"/>
  <c r="B66"/>
  <c r="B67"/>
  <c r="B68"/>
  <c r="B64"/>
  <c r="T10" i="5"/>
  <c r="T11"/>
  <c r="T12"/>
  <c r="T13"/>
  <c r="T14"/>
  <c r="T15"/>
  <c r="T9"/>
  <c r="S10"/>
  <c r="S11"/>
  <c r="S12"/>
  <c r="S13"/>
  <c r="S14"/>
  <c r="S15"/>
  <c r="S9"/>
  <c r="T11" i="4"/>
  <c r="S11"/>
  <c r="C103" i="8"/>
  <c r="C104"/>
  <c r="C105"/>
  <c r="C106"/>
  <c r="C102"/>
  <c r="B88"/>
  <c r="B89"/>
  <c r="B90"/>
  <c r="B91"/>
  <c r="B87"/>
  <c r="C77"/>
  <c r="C78"/>
  <c r="C79"/>
  <c r="C76"/>
  <c r="C75"/>
  <c r="B52"/>
  <c r="B53"/>
  <c r="B54"/>
  <c r="B51"/>
  <c r="B50"/>
  <c r="B37"/>
  <c r="B38"/>
  <c r="B39"/>
  <c r="B40"/>
  <c r="B36"/>
  <c r="B25"/>
  <c r="B26"/>
  <c r="B27"/>
  <c r="B28"/>
  <c r="B24"/>
  <c r="B13"/>
  <c r="B14"/>
  <c r="B15"/>
  <c r="B16"/>
  <c r="B12"/>
  <c r="B53" i="1"/>
  <c r="T3" i="9"/>
  <c r="T4"/>
  <c r="T5"/>
  <c r="T6"/>
  <c r="T7"/>
  <c r="T8"/>
  <c r="T9"/>
  <c r="T10"/>
  <c r="T11"/>
  <c r="T12"/>
  <c r="T13"/>
  <c r="T14"/>
  <c r="T15"/>
  <c r="T16"/>
  <c r="T17"/>
  <c r="T18"/>
  <c r="T19"/>
  <c r="T20"/>
  <c r="T21"/>
  <c r="T22"/>
  <c r="T23"/>
  <c r="T24"/>
  <c r="T25"/>
  <c r="T2"/>
  <c r="W3"/>
  <c r="W4"/>
  <c r="W5"/>
  <c r="W6"/>
  <c r="W7"/>
  <c r="W8"/>
  <c r="W9"/>
  <c r="W10"/>
  <c r="W11"/>
  <c r="W12"/>
  <c r="W13"/>
  <c r="W14"/>
  <c r="W15"/>
  <c r="W16"/>
  <c r="W17"/>
  <c r="W18"/>
  <c r="W19"/>
  <c r="W20"/>
  <c r="W21"/>
  <c r="W22"/>
  <c r="W23"/>
  <c r="W24"/>
  <c r="W25"/>
  <c r="W2"/>
  <c r="V3"/>
  <c r="V4"/>
  <c r="V5"/>
  <c r="V6"/>
  <c r="V7"/>
  <c r="V8"/>
  <c r="V9"/>
  <c r="V10"/>
  <c r="V11"/>
  <c r="V12"/>
  <c r="V13"/>
  <c r="V14"/>
  <c r="V15"/>
  <c r="V16"/>
  <c r="V17"/>
  <c r="V18"/>
  <c r="V19"/>
  <c r="V20"/>
  <c r="V21"/>
  <c r="V22"/>
  <c r="V23"/>
  <c r="V24"/>
  <c r="V25"/>
  <c r="V2"/>
  <c r="U8"/>
  <c r="U9"/>
  <c r="U10"/>
  <c r="U11"/>
  <c r="U12"/>
  <c r="U13"/>
  <c r="U14"/>
  <c r="U15"/>
  <c r="U16"/>
  <c r="U17"/>
  <c r="U18"/>
  <c r="U19"/>
  <c r="U20"/>
  <c r="U21"/>
  <c r="U22"/>
  <c r="U23"/>
  <c r="U24"/>
  <c r="U25"/>
  <c r="U3"/>
  <c r="U4"/>
  <c r="U5"/>
  <c r="U6"/>
  <c r="U7"/>
  <c r="U2"/>
  <c r="S3"/>
  <c r="S4"/>
  <c r="S5"/>
  <c r="S6"/>
  <c r="S7"/>
  <c r="S8"/>
  <c r="S9"/>
  <c r="S10"/>
  <c r="S11"/>
  <c r="S12"/>
  <c r="S13"/>
  <c r="S14"/>
  <c r="S15"/>
  <c r="S16"/>
  <c r="S17"/>
  <c r="S18"/>
  <c r="S19"/>
  <c r="S20"/>
  <c r="S21"/>
  <c r="S22"/>
  <c r="S23"/>
  <c r="S24"/>
  <c r="S25"/>
  <c r="S2"/>
  <c r="T12" i="4"/>
  <c r="T13"/>
  <c r="T14"/>
  <c r="T15"/>
  <c r="T16"/>
  <c r="T17"/>
  <c r="S12"/>
  <c r="S13"/>
  <c r="S14"/>
  <c r="S15"/>
  <c r="S16"/>
  <c r="S17"/>
  <c r="U20" i="6"/>
  <c r="U21"/>
  <c r="U22"/>
  <c r="U23"/>
  <c r="U24"/>
  <c r="U25"/>
  <c r="U19"/>
  <c r="T20"/>
  <c r="T21"/>
  <c r="T22"/>
  <c r="T23"/>
  <c r="T24"/>
  <c r="T25"/>
  <c r="T19"/>
  <c r="B85" i="9"/>
  <c r="B86"/>
  <c r="E81"/>
  <c r="B87"/>
  <c r="B92"/>
  <c r="B93"/>
  <c r="B94"/>
  <c r="B95"/>
  <c r="B96"/>
  <c r="B97"/>
  <c r="B98"/>
  <c r="B99"/>
  <c r="B100"/>
  <c r="B101"/>
  <c r="B102"/>
  <c r="B103"/>
  <c r="B104"/>
  <c r="B105"/>
  <c r="B106"/>
  <c r="B107"/>
  <c r="B108"/>
  <c r="B109"/>
  <c r="B110"/>
  <c r="B111"/>
  <c r="B112"/>
  <c r="B113"/>
  <c r="B114"/>
  <c r="B91"/>
  <c r="C92"/>
  <c r="C93"/>
  <c r="C94"/>
  <c r="C95"/>
  <c r="C96"/>
  <c r="C97"/>
  <c r="C98"/>
  <c r="C99"/>
  <c r="C100"/>
  <c r="C101"/>
  <c r="C102"/>
  <c r="C103"/>
  <c r="C104"/>
  <c r="C105"/>
  <c r="C106"/>
  <c r="C107"/>
  <c r="C108"/>
  <c r="C109"/>
  <c r="C110"/>
  <c r="C111"/>
  <c r="C112"/>
  <c r="C113"/>
  <c r="C114"/>
  <c r="C91"/>
  <c r="A49"/>
  <c r="A50"/>
  <c r="A51"/>
  <c r="A52"/>
  <c r="A53"/>
  <c r="A54"/>
  <c r="A55"/>
  <c r="A56"/>
  <c r="A57"/>
  <c r="A58"/>
  <c r="A59"/>
  <c r="A60"/>
  <c r="A61"/>
  <c r="A62"/>
  <c r="A63"/>
  <c r="A64"/>
  <c r="A65"/>
  <c r="A66"/>
  <c r="A67"/>
  <c r="A68"/>
  <c r="A69"/>
  <c r="A70"/>
  <c r="A71"/>
  <c r="A48"/>
  <c r="B29"/>
  <c r="B30"/>
  <c r="B31"/>
  <c r="B32"/>
  <c r="B33"/>
  <c r="B34"/>
  <c r="B35"/>
  <c r="B36"/>
  <c r="B37"/>
  <c r="B38"/>
  <c r="B39"/>
  <c r="B40"/>
  <c r="B41"/>
  <c r="B28"/>
  <c r="AF25" i="10" l="1"/>
  <c r="AF24"/>
  <c r="AF23"/>
  <c r="AF22"/>
  <c r="AF21"/>
  <c r="AF20"/>
  <c r="AF19"/>
  <c r="AF18"/>
  <c r="AF17"/>
  <c r="AF16"/>
  <c r="AF15"/>
  <c r="AF14"/>
  <c r="AF13"/>
  <c r="AF12"/>
  <c r="AF11"/>
  <c r="AF10"/>
  <c r="AF9"/>
  <c r="AF8"/>
  <c r="AF7"/>
  <c r="AF6"/>
  <c r="AF5"/>
  <c r="AF4"/>
  <c r="AF3"/>
  <c r="AF2"/>
  <c r="C15" i="3"/>
  <c r="C14"/>
  <c r="C13"/>
  <c r="C12"/>
  <c r="C16"/>
</calcChain>
</file>

<file path=xl/sharedStrings.xml><?xml version="1.0" encoding="utf-8"?>
<sst xmlns="http://schemas.openxmlformats.org/spreadsheetml/2006/main" count="1270" uniqueCount="406">
  <si>
    <t>Date</t>
  </si>
  <si>
    <t>Many times it is required to write a date in standard format in the excel worksheet</t>
  </si>
  <si>
    <t>Date function creates a real date by using three numbers typed into separate cells.</t>
  </si>
  <si>
    <t>In Microsoft Excel date is stored as a serial number. Excel operates on those serial numbers in calculations and formuals.</t>
  </si>
  <si>
    <t>Example</t>
  </si>
  <si>
    <t>is a number designated to 24/03/2018</t>
  </si>
  <si>
    <t>Similarly each date has its own unique serial number and it starts from Jan 1,1900 as Day 1.</t>
  </si>
  <si>
    <t>If year is between 1900 and 9999 inclusive exactly that value is used for year.</t>
  </si>
  <si>
    <t>Date(2015,12,31) returns December 31,2015</t>
  </si>
  <si>
    <t>If the year argument is between 0and 1899 inclusive, excel calculates the year by adding the specified number to 1900.</t>
  </si>
  <si>
    <t>Date(1560,12,31) returns Decemeber 31,3460</t>
  </si>
  <si>
    <t>(1900+1560=3460)</t>
  </si>
  <si>
    <t>Syntax</t>
  </si>
  <si>
    <t>Date(year,month,day)</t>
  </si>
  <si>
    <t>The result will normally be displayed in the dd/mm/yy format.</t>
  </si>
  <si>
    <t>By using the format,cells, number, Date command, the format can be changed.</t>
  </si>
  <si>
    <t>Datedif</t>
  </si>
  <si>
    <t>This function is used when the user want to know the exact difference between two dates in days, months or years.</t>
  </si>
  <si>
    <t>This function calculates the difference between two dates.</t>
  </si>
  <si>
    <t>It can show the result in weeks, months or years.</t>
  </si>
  <si>
    <t>datedif(first date,second date, "interval")</t>
  </si>
  <si>
    <t>First date: Earliest of the two dates.</t>
  </si>
  <si>
    <t>Second date: Recent of the two dates.</t>
  </si>
  <si>
    <t>Interval: It indicates what you want to calculate</t>
  </si>
  <si>
    <t>d- Total days between two dates</t>
  </si>
  <si>
    <t>m- total month between two dates</t>
  </si>
  <si>
    <t>y- Total years between two dates</t>
  </si>
  <si>
    <t>Row ID</t>
  </si>
  <si>
    <t>Order ID</t>
  </si>
  <si>
    <t>Order Date</t>
  </si>
  <si>
    <t>Ship Date</t>
  </si>
  <si>
    <t>CA-2016-152156</t>
  </si>
  <si>
    <t>CA-2016-138688</t>
  </si>
  <si>
    <t>US-2015-108966</t>
  </si>
  <si>
    <t>CA-2014-115812</t>
  </si>
  <si>
    <t>Difference between the order date and ship date in days for order id CA-2016-152156</t>
  </si>
  <si>
    <t>Difference between the first order date and last order date in months for 2016</t>
  </si>
  <si>
    <t>TODAY</t>
  </si>
  <si>
    <t>It shows the current date.</t>
  </si>
  <si>
    <t>TODAY()</t>
  </si>
  <si>
    <t>WEEKDAY</t>
  </si>
  <si>
    <t>It returns with the day of the week</t>
  </si>
  <si>
    <t>WEEKDAY(Date,type)</t>
  </si>
  <si>
    <t>Type is used to indicate the weekday numbering system</t>
  </si>
  <si>
    <t>1 will set Sunday as 1 through to Saturday as 7.</t>
  </si>
  <si>
    <t>2 will set Monday as 1 through to Sunday as 7.</t>
  </si>
  <si>
    <t>if no number is specified excel will use 1.</t>
  </si>
  <si>
    <t>What day of the week it was on the first order date of 2016</t>
  </si>
  <si>
    <t>NETWORKDAYS</t>
  </si>
  <si>
    <t>In Excel, NETWORKDAYS is a powerful function used to calculate the number of working days between two dates—excluding weekends and optionally, holidays. It’s especially useful for project planning, payroll, or academic scheduling.</t>
  </si>
  <si>
    <t>📅 Syntax</t>
  </si>
  <si>
    <t>NETWORKDAYS(start_date, end_date, [holidays])</t>
  </si>
  <si>
    <t>🔍 Parameters</t>
  </si>
  <si>
    <t>start_date: The beginning date of the period.</t>
  </si>
  <si>
    <t>end_date: The ending date of the period.</t>
  </si>
  <si>
    <t>[holidays] (optional): A range of dates to exclude (like public holidays or school breaks).</t>
  </si>
  <si>
    <t>The DAY function in Excel is a simple yet handy tool that extracts the day of the month from a given date.</t>
  </si>
  <si>
    <t>📌 Syntax</t>
  </si>
  <si>
    <t>DAY(serial_number)</t>
  </si>
  <si>
    <t>serial_number: This is the date from which you want to extract the day. It can be a cell reference (like A1), a date entered directly ("27-Aug-2025"), or a result of another formula.</t>
  </si>
  <si>
    <t>🧮 Example</t>
  </si>
  <si>
    <t>Day("27August2025")</t>
  </si>
  <si>
    <t>This will return 27.</t>
  </si>
  <si>
    <t>If cell A1 contains 15/01/2025, then:</t>
  </si>
  <si>
    <t>Day(A1)</t>
  </si>
  <si>
    <t>will return 15.</t>
  </si>
  <si>
    <t>Use Cases</t>
  </si>
  <si>
    <t>Extracting day values for sorting or filtering</t>
  </si>
  <si>
    <t>Combining with other functions like MONTH, YEAR, or TEXT for custom date formatting</t>
  </si>
  <si>
    <t>Useful in attendance sheets, deadline tracking, or birthday reminders</t>
  </si>
  <si>
    <t>TIME Functions</t>
  </si>
  <si>
    <t>Excel treats time as a portion of a day, times are stored as decimal fractions.</t>
  </si>
  <si>
    <t>In Excel</t>
  </si>
  <si>
    <t>00:00:00 is stored as 0.0</t>
  </si>
  <si>
    <t>23:59:59 is stored as 0.99999</t>
  </si>
  <si>
    <t>06:00 am is stored as 0.25</t>
  </si>
  <si>
    <t>When both date and time are entered into any cell,they are stored as a decimal number comprised of an integer representing the date and a decimal portion representing the time.</t>
  </si>
  <si>
    <t>Above number represent this date and time</t>
  </si>
  <si>
    <t>Adding timestamps using Shortcuts</t>
  </si>
  <si>
    <t>To insert current time press ctrl+shift+;</t>
  </si>
  <si>
    <t>To enter the current date and time press ctrl+; which insert a date and then pres the spacekey and then hit ctrl+shift+; to insert the current time</t>
  </si>
  <si>
    <t>Now</t>
  </si>
  <si>
    <t>Now function retrieves time from the computer system clock.</t>
  </si>
  <si>
    <t>It is one of the excel volatile functions that cause the cell with the formula to recalculate everytime the worksheet is reopened or recalculated.</t>
  </si>
  <si>
    <t>now()</t>
  </si>
  <si>
    <t>LOGICAL FUNCTIONS</t>
  </si>
  <si>
    <t>Logical functions are used when the user wants to carry out more than one comparision in his formula or test multiple conditions instead of just one.</t>
  </si>
  <si>
    <t>Logical Functions return either TRUE or FALSE when their arguments are evaluated</t>
  </si>
  <si>
    <t>A Logical function returns the #VALUE! Error if none of the arguments evaluates to logical values.</t>
  </si>
  <si>
    <t>Core Logical Functions in Excel</t>
  </si>
  <si>
    <t xml:space="preserve">Function </t>
  </si>
  <si>
    <t>Purpose</t>
  </si>
  <si>
    <t>IF</t>
  </si>
  <si>
    <t>Returns one value if a condition is TRUE, another if FALSE</t>
  </si>
  <si>
    <t>IF(A1=50,"Pass","Fail")</t>
  </si>
  <si>
    <t>AND</t>
  </si>
  <si>
    <t>Returns TRUE if all conditions are TRUE</t>
  </si>
  <si>
    <t>OR</t>
  </si>
  <si>
    <t>Returns TRUE if any condition is TRUE</t>
  </si>
  <si>
    <t>NOT</t>
  </si>
  <si>
    <t>Reverses the logical value (TRUE becomes FALSE, and vice versa)</t>
  </si>
  <si>
    <t>IFERROR</t>
  </si>
  <si>
    <t>Returns a custom value if a formula results in an error</t>
  </si>
  <si>
    <t>IFS</t>
  </si>
  <si>
    <t>Tests multiple conditions in sequence (Excel 2016+)</t>
  </si>
  <si>
    <t>AND function is used when user have to test several conditions and make sure that all of them are met.</t>
  </si>
  <si>
    <t>AND function tests the conditions user specify and returns TRUE if all of the conditions evaluates to true, FALSE otherwise.</t>
  </si>
  <si>
    <t>SYNTAX</t>
  </si>
  <si>
    <t>AND (Logical 1,[Logical 2]</t>
  </si>
  <si>
    <t>Logical- The condition the user wants to test that can evaluates to either TRUE or FALSE</t>
  </si>
  <si>
    <t>eg</t>
  </si>
  <si>
    <t>Ship Mode</t>
  </si>
  <si>
    <t>Customer ID</t>
  </si>
  <si>
    <t>Customer Name</t>
  </si>
  <si>
    <t>Segment</t>
  </si>
  <si>
    <t>Country</t>
  </si>
  <si>
    <t>City</t>
  </si>
  <si>
    <t>State</t>
  </si>
  <si>
    <t>Postal Code</t>
  </si>
  <si>
    <t>Category</t>
  </si>
  <si>
    <t>Sales ($)</t>
  </si>
  <si>
    <t>Quantity</t>
  </si>
  <si>
    <t>Discount</t>
  </si>
  <si>
    <t>Profit</t>
  </si>
  <si>
    <t>cost</t>
  </si>
  <si>
    <t>Ex 1</t>
  </si>
  <si>
    <t>Ex 2</t>
  </si>
  <si>
    <t>US-2014-110674</t>
  </si>
  <si>
    <t>Standard Class</t>
  </si>
  <si>
    <t>SC-20095</t>
  </si>
  <si>
    <t>Sanjit Chand</t>
  </si>
  <si>
    <t>Consumer</t>
  </si>
  <si>
    <t>United States</t>
  </si>
  <si>
    <t>Concord</t>
  </si>
  <si>
    <t>California</t>
  </si>
  <si>
    <t>Furniture</t>
  </si>
  <si>
    <t>CA-2014-133690</t>
  </si>
  <si>
    <t>First Class</t>
  </si>
  <si>
    <t>BS-11755</t>
  </si>
  <si>
    <t>Bruce Stewart</t>
  </si>
  <si>
    <t>Denver</t>
  </si>
  <si>
    <t>Colorado</t>
  </si>
  <si>
    <t>CA-2014-115259</t>
  </si>
  <si>
    <t>Second Class</t>
  </si>
  <si>
    <t>RC-19960</t>
  </si>
  <si>
    <t>Ryan Crowe</t>
  </si>
  <si>
    <t>Columbus</t>
  </si>
  <si>
    <t>Ohio</t>
  </si>
  <si>
    <t>Office Supplies</t>
  </si>
  <si>
    <t>US-2014-156216</t>
  </si>
  <si>
    <t>EA-14035</t>
  </si>
  <si>
    <t>Erin Ashbrook</t>
  </si>
  <si>
    <t>Corporate</t>
  </si>
  <si>
    <t>Charlotte</t>
  </si>
  <si>
    <t>North Carolina</t>
  </si>
  <si>
    <t>Check if the shipping mode is first class and category is office supplies</t>
  </si>
  <si>
    <t>Check if the customer is a consumer who has ordered Office Supplies.</t>
  </si>
  <si>
    <t>OR (Logical 1,[Logical 2]</t>
  </si>
  <si>
    <t>LOGICAL-</t>
  </si>
  <si>
    <t>The condition the user wants to test that can evaluates to either TRUE or FALSE</t>
  </si>
  <si>
    <t>EXAMPLE</t>
  </si>
  <si>
    <t>Example 1</t>
  </si>
  <si>
    <t>Example 2</t>
  </si>
  <si>
    <t>Technology</t>
  </si>
  <si>
    <t>Check whether the customer is a consumer or has ordered a furniture.</t>
  </si>
  <si>
    <t>The IF function is used to perform a logical test.</t>
  </si>
  <si>
    <t>It returns with one result if test results are TRUE, and another result if the test results are FALSE</t>
  </si>
  <si>
    <t>IF(logical_test,[value_if_true],[Value_if_False])</t>
  </si>
  <si>
    <t>Logical_test: The conditions that user wants to evaluate</t>
  </si>
  <si>
    <t>Value_if_true: The value that will display if the conditions evaluated holds true.</t>
  </si>
  <si>
    <t>Value_if_false: The value that will display if the conditions evaluated are false.</t>
  </si>
  <si>
    <t>Categorize</t>
  </si>
  <si>
    <t>Check</t>
  </si>
  <si>
    <t>High/Low</t>
  </si>
  <si>
    <t>technology</t>
  </si>
  <si>
    <t>Check if discount is more than or less than 40%</t>
  </si>
  <si>
    <t>if discount is &gt;40%</t>
  </si>
  <si>
    <t>If it is more than 40% than it is HIGH or else LOW</t>
  </si>
  <si>
    <t>"High" "Low"</t>
  </si>
  <si>
    <t>Check if Customer has ordred Office Supplies and if the shippment mode to deliver Office Supplies is Satndard Mode</t>
  </si>
  <si>
    <t>The NOT function in Excel is a logical operator that reverses the value of a condition. If something is TRUE, NOT makes it FALSE—and vice versa.</t>
  </si>
  <si>
    <t>Synatax</t>
  </si>
  <si>
    <t>Not(logical)</t>
  </si>
  <si>
    <t>logical: This is the condition or expression you want to test.</t>
  </si>
  <si>
    <t>How this works:</t>
  </si>
  <si>
    <t>Not(True)</t>
  </si>
  <si>
    <t>Reverses the Value</t>
  </si>
  <si>
    <t>Not(False)</t>
  </si>
  <si>
    <t>Practical Example: Attendance Tracker</t>
  </si>
  <si>
    <t>Let’s say column A has "Present" or "Absent". You want to flag students who are not present:</t>
  </si>
  <si>
    <t>Not(A2="Present")</t>
  </si>
  <si>
    <t>If A2 is "Present" → returns FALSE</t>
  </si>
  <si>
    <t>If A2 is "Absent" → returns TRUE</t>
  </si>
  <si>
    <t>You can use this with conditional formatting to highlight absentees or combine it with IF:</t>
  </si>
  <si>
    <t>If(Not(A2="Present"),"Follow up"," ")</t>
  </si>
  <si>
    <t>IF+NOT</t>
  </si>
  <si>
    <t>Suman</t>
  </si>
  <si>
    <t>Present</t>
  </si>
  <si>
    <t>Raghav</t>
  </si>
  <si>
    <t>Absent</t>
  </si>
  <si>
    <t>Follow up</t>
  </si>
  <si>
    <t>Reema</t>
  </si>
  <si>
    <t>present</t>
  </si>
  <si>
    <t>Aiesha</t>
  </si>
  <si>
    <t>Text functions are mostly used in ETL i.e Extract Transform Load.</t>
  </si>
  <si>
    <t>It is used to edit the data that is not in the proper format and make it ready to use further.</t>
  </si>
  <si>
    <t>The most commonly used Text functions are:</t>
  </si>
  <si>
    <t>PROPER()</t>
  </si>
  <si>
    <t>Proper function converts the text into proper case.</t>
  </si>
  <si>
    <t>PROPER(Text)</t>
  </si>
  <si>
    <t>eg.</t>
  </si>
  <si>
    <t>doroThy warDlE</t>
  </si>
  <si>
    <t>victOriA breNNAN</t>
  </si>
  <si>
    <t>Christine Abelman</t>
  </si>
  <si>
    <t>Janet Martin</t>
  </si>
  <si>
    <t>ed braxton</t>
  </si>
  <si>
    <t>UPPER()</t>
  </si>
  <si>
    <t>Upper function converts all the text into the upper case.</t>
  </si>
  <si>
    <t>UPPER(text)</t>
  </si>
  <si>
    <t>LOWER()</t>
  </si>
  <si>
    <t>Lower function converts all the text in to lower case.</t>
  </si>
  <si>
    <t>LOWER(text)</t>
  </si>
  <si>
    <t>Left()</t>
  </si>
  <si>
    <t>Left Function is used to extract leftmost characters from the string of text.</t>
  </si>
  <si>
    <t>The number of characters to be extracted has to be specified by the user.</t>
  </si>
  <si>
    <t>LEFT(text,num_char)</t>
  </si>
  <si>
    <t>num_char- The number of characters that needs to be extracted.</t>
  </si>
  <si>
    <t>RIGHT()</t>
  </si>
  <si>
    <t>Right function is used to extract rightmost characters from the string of text.</t>
  </si>
  <si>
    <t>RIGHT(text,num_char)</t>
  </si>
  <si>
    <t>CONCATENATE</t>
  </si>
  <si>
    <t>It allows the user to combine text from different cells into one cell.</t>
  </si>
  <si>
    <t>CONCATENATE(text1,text2….)</t>
  </si>
  <si>
    <t>Dorothy</t>
  </si>
  <si>
    <t>Wardle</t>
  </si>
  <si>
    <t>Victoria</t>
  </si>
  <si>
    <t>Brennan</t>
  </si>
  <si>
    <t>Christine</t>
  </si>
  <si>
    <t>Abelman</t>
  </si>
  <si>
    <t>Janet</t>
  </si>
  <si>
    <t>Martin</t>
  </si>
  <si>
    <t>Ed</t>
  </si>
  <si>
    <t>Braxton</t>
  </si>
  <si>
    <t>TRIM</t>
  </si>
  <si>
    <t>Trim function allows the user to remove the extra spaces between the text string.</t>
  </si>
  <si>
    <t>TRIM(text)</t>
  </si>
  <si>
    <t>Dorothy Wardle</t>
  </si>
  <si>
    <t>Victoria Brennan</t>
  </si>
  <si>
    <t>Ed Braxton</t>
  </si>
  <si>
    <t>LEN</t>
  </si>
  <si>
    <t>LEN helps the user to find the total length of the characters in the string.</t>
  </si>
  <si>
    <t>LEN is used when the string is of varying length.</t>
  </si>
  <si>
    <t>LEN(TEXT)</t>
  </si>
  <si>
    <t>Name</t>
  </si>
  <si>
    <t>X(length of the text)</t>
  </si>
  <si>
    <t>Product ID</t>
  </si>
  <si>
    <t>Sub-Category</t>
  </si>
  <si>
    <t>Sales</t>
  </si>
  <si>
    <t>Q3</t>
  </si>
  <si>
    <t>Q4</t>
  </si>
  <si>
    <t>Q5</t>
  </si>
  <si>
    <t>Q6</t>
  </si>
  <si>
    <t>Q7</t>
  </si>
  <si>
    <t>CA-2017-100111</t>
  </si>
  <si>
    <t>Seth Vernon</t>
  </si>
  <si>
    <t>New York City</t>
  </si>
  <si>
    <t>New York</t>
  </si>
  <si>
    <t>FUR-CH-10004086</t>
  </si>
  <si>
    <t>Chairs</t>
  </si>
  <si>
    <t>SV-20365</t>
  </si>
  <si>
    <t>US-2016-113677</t>
  </si>
  <si>
    <t>Corinna Mitchell</t>
  </si>
  <si>
    <t>Home Office</t>
  </si>
  <si>
    <t>TEC-PH-10002114</t>
  </si>
  <si>
    <t>Phones</t>
  </si>
  <si>
    <t>CM-12655</t>
  </si>
  <si>
    <t>CA-2015-158421</t>
  </si>
  <si>
    <t>Giulietta Baptist</t>
  </si>
  <si>
    <t>Columbia</t>
  </si>
  <si>
    <t>South Carolina</t>
  </si>
  <si>
    <t>FUR-CH-10000309</t>
  </si>
  <si>
    <t>GB-14575</t>
  </si>
  <si>
    <t>FUR-CH-10001215</t>
  </si>
  <si>
    <t>CA-2016-159016</t>
  </si>
  <si>
    <t>Karen Ferguson</t>
  </si>
  <si>
    <t>Los Angeles</t>
  </si>
  <si>
    <t>TEC-PH-10002885</t>
  </si>
  <si>
    <t>KF-16285</t>
  </si>
  <si>
    <t>CA-2015-135580</t>
  </si>
  <si>
    <t>Clay Ludtke</t>
  </si>
  <si>
    <t>TEC-MA-10004002</t>
  </si>
  <si>
    <t>Machines</t>
  </si>
  <si>
    <t>CL-12565</t>
  </si>
  <si>
    <t>US-2014-106299</t>
  </si>
  <si>
    <t>Nick Zandusky</t>
  </si>
  <si>
    <t>Springfield</t>
  </si>
  <si>
    <t>Missouri</t>
  </si>
  <si>
    <t>OFF-ST-10002011</t>
  </si>
  <si>
    <t>Storage</t>
  </si>
  <si>
    <t>NZ-18565</t>
  </si>
  <si>
    <t>CA-2015-111780</t>
  </si>
  <si>
    <t>Ralph Arnett</t>
  </si>
  <si>
    <t>San Diego</t>
  </si>
  <si>
    <t>TEC-CO-10004202</t>
  </si>
  <si>
    <t>Copiers</t>
  </si>
  <si>
    <t>RA-19285</t>
  </si>
  <si>
    <t>CA-2016-157259</t>
  </si>
  <si>
    <t>Jessica Myrick</t>
  </si>
  <si>
    <t>FUR-FU-10003192</t>
  </si>
  <si>
    <t>Furnishings</t>
  </si>
  <si>
    <t>JM-15535</t>
  </si>
  <si>
    <t>CA-2016-151561</t>
  </si>
  <si>
    <t>Patrick Gardner</t>
  </si>
  <si>
    <t>TEC-AC-10001432</t>
  </si>
  <si>
    <t>Accessories</t>
  </si>
  <si>
    <t>PG-18820</t>
  </si>
  <si>
    <t>CA-2017-122364</t>
  </si>
  <si>
    <t>Frank Atkinson</t>
  </si>
  <si>
    <t>TEC-MA-10001031</t>
  </si>
  <si>
    <t>FA-14230</t>
  </si>
  <si>
    <t>TEC-PH-10000369</t>
  </si>
  <si>
    <t>CA-2016-154662</t>
  </si>
  <si>
    <t>Benjamin Farhat</t>
  </si>
  <si>
    <t>Minneapolis</t>
  </si>
  <si>
    <t>Minnesota</t>
  </si>
  <si>
    <t>FUR-TA-10001771</t>
  </si>
  <si>
    <t>Tables</t>
  </si>
  <si>
    <t>BF-11215</t>
  </si>
  <si>
    <t>CA-2014-163447</t>
  </si>
  <si>
    <t>Thomas Brumley</t>
  </si>
  <si>
    <t>FUR-CH-10004477</t>
  </si>
  <si>
    <t>TB-21190</t>
  </si>
  <si>
    <t>CA-2017-121083</t>
  </si>
  <si>
    <t>Jamie Frazer</t>
  </si>
  <si>
    <t>Manchester</t>
  </si>
  <si>
    <t>Connecticut</t>
  </si>
  <si>
    <t>OFF-PA-10001497</t>
  </si>
  <si>
    <t>Paper</t>
  </si>
  <si>
    <t>JF-15190</t>
  </si>
  <si>
    <t>OFF-EN-10003296</t>
  </si>
  <si>
    <t>Envelopes</t>
  </si>
  <si>
    <t>CA-2016-161025</t>
  </si>
  <si>
    <t>Gary McGarr</t>
  </si>
  <si>
    <t>OFF-ST-10001932</t>
  </si>
  <si>
    <t>GM-14440</t>
  </si>
  <si>
    <t>TEC-AC-10002647</t>
  </si>
  <si>
    <t>CA-2015-113215</t>
  </si>
  <si>
    <t>Cathy Prescott</t>
  </si>
  <si>
    <t>Tucson</t>
  </si>
  <si>
    <t>Arizona</t>
  </si>
  <si>
    <t>FUR-FU-10002937</t>
  </si>
  <si>
    <t>CP-12085</t>
  </si>
  <si>
    <t>US-2016-106600</t>
  </si>
  <si>
    <t>Raymond Messe</t>
  </si>
  <si>
    <t>Georgia</t>
  </si>
  <si>
    <t>FUR-BO-10001608</t>
  </si>
  <si>
    <t>Bookcases</t>
  </si>
  <si>
    <t>RM-19375</t>
  </si>
  <si>
    <t>CA-2015-153878</t>
  </si>
  <si>
    <t>Trudy Schmidt</t>
  </si>
  <si>
    <t>Milwaukee</t>
  </si>
  <si>
    <t>Wisconsin</t>
  </si>
  <si>
    <t>OFF-AP-10001205</t>
  </si>
  <si>
    <t>Appliances</t>
  </si>
  <si>
    <t>TS-21655</t>
  </si>
  <si>
    <t>TEC-PH-10001817</t>
  </si>
  <si>
    <t>TEC-PH-10001336</t>
  </si>
  <si>
    <t>Proper</t>
  </si>
  <si>
    <t>SEth vErnon</t>
  </si>
  <si>
    <t>corinna mitchell</t>
  </si>
  <si>
    <t>giulietta baptist</t>
  </si>
  <si>
    <t>seth vernon</t>
  </si>
  <si>
    <t>karen ferguson</t>
  </si>
  <si>
    <t>clay ludtke</t>
  </si>
  <si>
    <t>nick zandusky</t>
  </si>
  <si>
    <t>ralph arnett</t>
  </si>
  <si>
    <t>jessica myrick</t>
  </si>
  <si>
    <t>patrick gardner</t>
  </si>
  <si>
    <t>frank atkinson</t>
  </si>
  <si>
    <t>benjamin carhat</t>
  </si>
  <si>
    <t>Write the above names in Proper order</t>
  </si>
  <si>
    <t>Concatenate Row Id and Order Id in the space provided</t>
  </si>
  <si>
    <t>Q3 Check whether the customer is from New york city and has ordered office supplies</t>
  </si>
  <si>
    <t>Q4 Check If customer has oredered furniture or is a consumer. Return with value "Yes" if one of the condition is fulfilled</t>
  </si>
  <si>
    <t xml:space="preserve">Q5 Check whether the discount is more than 60% </t>
  </si>
  <si>
    <t xml:space="preserve">Q6 If discount is more than 60% then display Yes if not then display No </t>
  </si>
  <si>
    <t>Q7 Calculate the differene in order date and ship date</t>
  </si>
  <si>
    <t xml:space="preserve">Q8 Mark all the cells red where delivery has taken more than 3 days </t>
  </si>
  <si>
    <t>Q9 Calculate the total sales of Office supplies to the consumer segment in the New york City</t>
  </si>
  <si>
    <t>Q10  Find out the sales of Furniture to the Corporate segment in the following city</t>
  </si>
  <si>
    <t>Newyork City</t>
  </si>
  <si>
    <t>Q11 Separate the first name and the last name of the customers in the space provided</t>
  </si>
  <si>
    <t>First Name</t>
  </si>
  <si>
    <t>Last Name</t>
  </si>
  <si>
    <t>year</t>
  </si>
  <si>
    <t>HA Q10</t>
  </si>
  <si>
    <t>Q12 Separate Product ID Category and Sub-Category using Text to colummn</t>
  </si>
  <si>
    <t xml:space="preserve">   </t>
  </si>
  <si>
    <t>Office Sup</t>
  </si>
  <si>
    <t>category</t>
  </si>
  <si>
    <t>plies Storage</t>
  </si>
  <si>
    <t>plies Paper</t>
  </si>
  <si>
    <t>plies Envelopes</t>
  </si>
  <si>
    <t>plies Appliances</t>
  </si>
  <si>
    <t xml:space="preserve">product Id </t>
  </si>
  <si>
    <t>sub- category</t>
  </si>
</sst>
</file>

<file path=xl/styles.xml><?xml version="1.0" encoding="utf-8"?>
<styleSheet xmlns="http://schemas.openxmlformats.org/spreadsheetml/2006/main">
  <numFmts count="3">
    <numFmt numFmtId="164" formatCode="dd\-mm\-yyyy"/>
    <numFmt numFmtId="165" formatCode="d\-m\-yyyy"/>
    <numFmt numFmtId="166" formatCode="dd\-mm\-yyyy\ hh:mm"/>
  </numFmts>
  <fonts count="35">
    <font>
      <sz val="10"/>
      <color rgb="FF000000"/>
      <name val="Arial"/>
      <scheme val="minor"/>
    </font>
    <font>
      <sz val="11"/>
      <color theme="1"/>
      <name val="Arial"/>
      <family val="2"/>
      <scheme val="minor"/>
    </font>
    <font>
      <b/>
      <sz val="11"/>
      <color rgb="FFFF0000"/>
      <name val="Verdana"/>
    </font>
    <font>
      <sz val="11"/>
      <color rgb="FF000000"/>
      <name val="Verdana"/>
    </font>
    <font>
      <b/>
      <sz val="11"/>
      <color rgb="FF000000"/>
      <name val="Verdana"/>
    </font>
    <font>
      <sz val="11"/>
      <color rgb="FFFF0000"/>
      <name val="Verdana"/>
    </font>
    <font>
      <sz val="11"/>
      <color rgb="FF00B050"/>
      <name val="Verdana"/>
    </font>
    <font>
      <sz val="12"/>
      <color rgb="FF000000"/>
      <name val="Calibri"/>
    </font>
    <font>
      <sz val="11"/>
      <color rgb="FF000000"/>
      <name val="Calibri"/>
    </font>
    <font>
      <sz val="10"/>
      <color rgb="FF000000"/>
      <name val="Verdana"/>
    </font>
    <font>
      <sz val="11"/>
      <color theme="1"/>
      <name val="Verdana"/>
    </font>
    <font>
      <b/>
      <sz val="11"/>
      <color theme="1"/>
      <name val="Verdana"/>
    </font>
    <font>
      <sz val="10"/>
      <color theme="1"/>
      <name val="Arial"/>
      <scheme val="minor"/>
    </font>
    <font>
      <b/>
      <sz val="10"/>
      <color theme="1"/>
      <name val="Arial"/>
      <scheme val="minor"/>
    </font>
    <font>
      <sz val="12"/>
      <color rgb="FFFF0000"/>
      <name val="Verdana"/>
    </font>
    <font>
      <sz val="12"/>
      <color rgb="FF000000"/>
      <name val="Verdana"/>
    </font>
    <font>
      <b/>
      <sz val="12"/>
      <color rgb="FF000000"/>
      <name val="Verdana"/>
    </font>
    <font>
      <sz val="12"/>
      <color rgb="FF00B050"/>
      <name val="Verdana"/>
    </font>
    <font>
      <sz val="12"/>
      <color rgb="FFFFFFFF"/>
      <name val="Verdana"/>
    </font>
    <font>
      <b/>
      <sz val="12"/>
      <color rgb="FFFFFFFF"/>
      <name val="Verdana"/>
    </font>
    <font>
      <sz val="10"/>
      <color rgb="FF000000"/>
      <name val="Verdana"/>
    </font>
    <font>
      <sz val="12"/>
      <color rgb="FF7030A0"/>
      <name val="Verdana"/>
    </font>
    <font>
      <b/>
      <sz val="10"/>
      <color rgb="FFFF0000"/>
      <name val="Verdana"/>
    </font>
    <font>
      <sz val="10"/>
      <color rgb="FFFF0000"/>
      <name val="Verdana"/>
    </font>
    <font>
      <b/>
      <sz val="10"/>
      <color rgb="FF000000"/>
      <name val="Verdana"/>
    </font>
    <font>
      <b/>
      <sz val="9"/>
      <color rgb="FFFF0000"/>
      <name val="Verdana"/>
    </font>
    <font>
      <sz val="9"/>
      <color rgb="FF000000"/>
      <name val="Verdana"/>
    </font>
    <font>
      <sz val="9"/>
      <color rgb="FFFF0000"/>
      <name val="Verdana"/>
    </font>
    <font>
      <b/>
      <sz val="9"/>
      <color rgb="FF000000"/>
      <name val="Verdana"/>
    </font>
    <font>
      <b/>
      <sz val="12"/>
      <color rgb="FFFFFFFF"/>
      <name val="Verdana"/>
      <family val="2"/>
    </font>
    <font>
      <sz val="12"/>
      <color theme="1"/>
      <name val="Verdana"/>
      <family val="2"/>
    </font>
    <font>
      <sz val="12"/>
      <color rgb="FF000000"/>
      <name val="Verdana"/>
      <family val="2"/>
    </font>
    <font>
      <b/>
      <sz val="12"/>
      <color theme="1"/>
      <name val="Verdana"/>
      <family val="2"/>
    </font>
    <font>
      <b/>
      <sz val="12"/>
      <color rgb="FF000000"/>
      <name val="Verdana"/>
      <family val="2"/>
    </font>
    <font>
      <b/>
      <sz val="12"/>
      <color theme="0"/>
      <name val="Arial"/>
      <family val="2"/>
      <scheme val="minor"/>
    </font>
  </fonts>
  <fills count="10">
    <fill>
      <patternFill patternType="none"/>
    </fill>
    <fill>
      <patternFill patternType="gray125"/>
    </fill>
    <fill>
      <patternFill patternType="solid">
        <fgColor rgb="FF00B0F0"/>
        <bgColor rgb="FF00B0F0"/>
      </patternFill>
    </fill>
    <fill>
      <patternFill patternType="solid">
        <fgColor rgb="FFFFFF00"/>
        <bgColor rgb="FFFFFF00"/>
      </patternFill>
    </fill>
    <fill>
      <patternFill patternType="solid">
        <fgColor rgb="FF548235"/>
        <bgColor rgb="FF548235"/>
      </patternFill>
    </fill>
    <fill>
      <patternFill patternType="solid">
        <fgColor rgb="FFFFFFFF"/>
        <bgColor rgb="FFFFFFFF"/>
      </patternFill>
    </fill>
    <fill>
      <patternFill patternType="solid">
        <fgColor rgb="FF525252"/>
        <bgColor rgb="FF525252"/>
      </patternFill>
    </fill>
    <fill>
      <patternFill patternType="solid">
        <fgColor theme="6" tint="-0.499984740745262"/>
        <bgColor indexed="64"/>
      </patternFill>
    </fill>
    <fill>
      <patternFill patternType="solid">
        <fgColor theme="0"/>
        <bgColor indexed="64"/>
      </patternFill>
    </fill>
    <fill>
      <patternFill patternType="solid">
        <fgColor rgb="FFFFFF0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s>
  <cellStyleXfs count="3">
    <xf numFmtId="0" fontId="0" fillId="0" borderId="0"/>
    <xf numFmtId="0" fontId="1" fillId="0" borderId="0"/>
    <xf numFmtId="9" fontId="1" fillId="0" borderId="0" applyFont="0" applyFill="0" applyBorder="0" applyAlignment="0" applyProtection="0"/>
  </cellStyleXfs>
  <cellXfs count="117">
    <xf numFmtId="0" fontId="0" fillId="0" borderId="0" xfId="0"/>
    <xf numFmtId="0" fontId="2" fillId="0" borderId="0" xfId="0" applyFont="1"/>
    <xf numFmtId="0" fontId="3" fillId="0" borderId="0" xfId="0" applyFont="1"/>
    <xf numFmtId="0" fontId="4" fillId="0" borderId="0" xfId="0" applyFont="1"/>
    <xf numFmtId="0" fontId="3" fillId="0" borderId="0" xfId="0" applyFont="1" applyAlignment="1">
      <alignment horizontal="right"/>
    </xf>
    <xf numFmtId="164" fontId="3" fillId="0" borderId="0" xfId="0" applyNumberFormat="1" applyFont="1" applyAlignment="1">
      <alignment horizontal="right"/>
    </xf>
    <xf numFmtId="21" fontId="3" fillId="0" borderId="0" xfId="0" applyNumberFormat="1" applyFont="1" applyAlignment="1">
      <alignment horizontal="right"/>
    </xf>
    <xf numFmtId="0" fontId="5" fillId="0" borderId="0" xfId="0" applyFont="1"/>
    <xf numFmtId="0" fontId="7" fillId="2" borderId="1" xfId="0" applyFont="1" applyFill="1" applyBorder="1"/>
    <xf numFmtId="0" fontId="8" fillId="0" borderId="1" xfId="0" applyFont="1" applyBorder="1" applyAlignment="1">
      <alignment horizontal="right"/>
    </xf>
    <xf numFmtId="0" fontId="8" fillId="0" borderId="1" xfId="0" applyFont="1" applyBorder="1"/>
    <xf numFmtId="164" fontId="8" fillId="0" borderId="1" xfId="0" applyNumberFormat="1" applyFont="1" applyBorder="1" applyAlignment="1">
      <alignment horizontal="right"/>
    </xf>
    <xf numFmtId="165" fontId="8" fillId="0" borderId="1" xfId="0" applyNumberFormat="1" applyFont="1" applyBorder="1" applyAlignment="1">
      <alignment horizontal="right"/>
    </xf>
    <xf numFmtId="0" fontId="8" fillId="0" borderId="0" xfId="0" applyFont="1"/>
    <xf numFmtId="0" fontId="8" fillId="3" borderId="0" xfId="0" applyFont="1" applyFill="1"/>
    <xf numFmtId="166" fontId="3" fillId="0" borderId="0" xfId="0" applyNumberFormat="1" applyFont="1" applyAlignment="1">
      <alignment horizontal="right"/>
    </xf>
    <xf numFmtId="0" fontId="3" fillId="3" borderId="0" xfId="0" applyFont="1" applyFill="1"/>
    <xf numFmtId="0" fontId="3" fillId="0" borderId="0" xfId="0" applyFont="1" applyAlignment="1">
      <alignment horizontal="left"/>
    </xf>
    <xf numFmtId="0" fontId="10" fillId="0" borderId="0" xfId="0" applyFont="1"/>
    <xf numFmtId="0" fontId="3" fillId="3" borderId="0" xfId="0" applyFont="1" applyFill="1" applyAlignment="1">
      <alignment horizontal="right"/>
    </xf>
    <xf numFmtId="166" fontId="3" fillId="3" borderId="0" xfId="0" applyNumberFormat="1" applyFont="1" applyFill="1" applyAlignment="1">
      <alignment horizontal="right"/>
    </xf>
    <xf numFmtId="0" fontId="12" fillId="0" borderId="0" xfId="0" applyFont="1"/>
    <xf numFmtId="0" fontId="13" fillId="0" borderId="1" xfId="0" applyFont="1" applyBorder="1" applyAlignment="1">
      <alignment horizontal="center"/>
    </xf>
    <xf numFmtId="0" fontId="12" fillId="0" borderId="1" xfId="0" applyFont="1" applyBorder="1"/>
    <xf numFmtId="0" fontId="12" fillId="0" borderId="2" xfId="0" applyFont="1" applyBorder="1"/>
    <xf numFmtId="0" fontId="12" fillId="0" borderId="3" xfId="0" applyFont="1" applyBorder="1"/>
    <xf numFmtId="0" fontId="14" fillId="0" borderId="0" xfId="0" applyFont="1"/>
    <xf numFmtId="0" fontId="15" fillId="0" borderId="0" xfId="0" applyFont="1"/>
    <xf numFmtId="0" fontId="17" fillId="0" borderId="0" xfId="0" applyFont="1"/>
    <xf numFmtId="0" fontId="18" fillId="4" borderId="1" xfId="0" applyFont="1" applyFill="1" applyBorder="1"/>
    <xf numFmtId="0" fontId="15" fillId="3" borderId="1" xfId="0" applyFont="1" applyFill="1" applyBorder="1"/>
    <xf numFmtId="0" fontId="15" fillId="5" borderId="0" xfId="0" applyFont="1" applyFill="1"/>
    <xf numFmtId="0" fontId="15" fillId="0" borderId="0" xfId="0" applyFont="1" applyAlignment="1">
      <alignment horizontal="center"/>
    </xf>
    <xf numFmtId="0" fontId="15" fillId="0" borderId="1" xfId="0" applyFont="1" applyBorder="1" applyAlignment="1">
      <alignment horizontal="right"/>
    </xf>
    <xf numFmtId="0" fontId="15" fillId="0" borderId="1" xfId="0" applyFont="1" applyBorder="1"/>
    <xf numFmtId="164" fontId="15" fillId="0" borderId="1" xfId="0" applyNumberFormat="1" applyFont="1" applyBorder="1" applyAlignment="1">
      <alignment horizontal="right"/>
    </xf>
    <xf numFmtId="0" fontId="15" fillId="3" borderId="1" xfId="0" applyFont="1" applyFill="1" applyBorder="1" applyAlignment="1">
      <alignment horizontal="center"/>
    </xf>
    <xf numFmtId="0" fontId="15" fillId="5" borderId="0" xfId="0" applyFont="1" applyFill="1" applyAlignment="1">
      <alignment horizontal="center"/>
    </xf>
    <xf numFmtId="0" fontId="19" fillId="4" borderId="1" xfId="0" applyFont="1" applyFill="1" applyBorder="1"/>
    <xf numFmtId="0" fontId="14" fillId="0" borderId="1" xfId="0" applyFont="1" applyBorder="1" applyAlignment="1">
      <alignment horizontal="right"/>
    </xf>
    <xf numFmtId="0" fontId="15" fillId="0" borderId="4" xfId="0" applyFont="1" applyBorder="1" applyAlignment="1">
      <alignment horizontal="center"/>
    </xf>
    <xf numFmtId="0" fontId="20" fillId="0" borderId="0" xfId="0" applyFont="1"/>
    <xf numFmtId="0" fontId="15" fillId="0" borderId="1" xfId="0" applyFont="1" applyBorder="1" applyAlignment="1">
      <alignment horizontal="center"/>
    </xf>
    <xf numFmtId="0" fontId="9" fillId="0" borderId="0" xfId="0" applyFont="1"/>
    <xf numFmtId="0" fontId="22" fillId="0" borderId="0" xfId="0" applyFont="1"/>
    <xf numFmtId="0" fontId="23" fillId="0" borderId="0" xfId="0" applyFont="1"/>
    <xf numFmtId="0" fontId="24" fillId="0" borderId="0" xfId="0" applyFont="1"/>
    <xf numFmtId="0" fontId="9" fillId="0" borderId="1" xfId="0" applyFont="1" applyBorder="1"/>
    <xf numFmtId="0" fontId="25" fillId="0" borderId="0" xfId="0" applyFont="1"/>
    <xf numFmtId="0" fontId="26" fillId="0" borderId="0" xfId="0" applyFont="1"/>
    <xf numFmtId="0" fontId="27" fillId="0" borderId="0" xfId="0" applyFont="1"/>
    <xf numFmtId="0" fontId="28" fillId="0" borderId="0" xfId="0" applyFont="1"/>
    <xf numFmtId="0" fontId="26" fillId="0" borderId="1" xfId="0" applyFont="1" applyBorder="1"/>
    <xf numFmtId="0" fontId="3" fillId="0" borderId="1" xfId="0" applyFont="1" applyBorder="1"/>
    <xf numFmtId="0" fontId="3" fillId="0" borderId="5" xfId="0" applyFont="1" applyBorder="1"/>
    <xf numFmtId="0" fontId="2" fillId="5" borderId="0" xfId="0" applyFont="1" applyFill="1"/>
    <xf numFmtId="0" fontId="3" fillId="5" borderId="0" xfId="0" applyFont="1" applyFill="1"/>
    <xf numFmtId="0" fontId="3" fillId="5" borderId="0" xfId="0" applyFont="1" applyFill="1" applyAlignment="1">
      <alignment horizontal="center"/>
    </xf>
    <xf numFmtId="0" fontId="4" fillId="0" borderId="1" xfId="0" applyFont="1" applyBorder="1" applyAlignment="1">
      <alignment horizontal="center"/>
    </xf>
    <xf numFmtId="0" fontId="4" fillId="0" borderId="1" xfId="0" applyFont="1" applyBorder="1"/>
    <xf numFmtId="0" fontId="3" fillId="0" borderId="1" xfId="0" applyFont="1" applyBorder="1" applyAlignment="1">
      <alignment horizontal="center"/>
    </xf>
    <xf numFmtId="0" fontId="3" fillId="0" borderId="0" xfId="0" applyFont="1" applyAlignment="1">
      <alignment horizontal="center"/>
    </xf>
    <xf numFmtId="0" fontId="29" fillId="6" borderId="1" xfId="0" applyFont="1" applyFill="1" applyBorder="1" applyAlignment="1">
      <alignment horizontal="center"/>
    </xf>
    <xf numFmtId="0" fontId="29" fillId="5" borderId="0" xfId="0" applyFont="1" applyFill="1" applyAlignment="1">
      <alignment horizontal="center"/>
    </xf>
    <xf numFmtId="0" fontId="30" fillId="0" borderId="0" xfId="0" applyFont="1"/>
    <xf numFmtId="0" fontId="31" fillId="0" borderId="0" xfId="0" applyFont="1"/>
    <xf numFmtId="0" fontId="31" fillId="0" borderId="1" xfId="0" applyFont="1" applyBorder="1" applyAlignment="1">
      <alignment horizontal="center"/>
    </xf>
    <xf numFmtId="164" fontId="31" fillId="0" borderId="1" xfId="0" applyNumberFormat="1" applyFont="1" applyBorder="1" applyAlignment="1">
      <alignment horizontal="center"/>
    </xf>
    <xf numFmtId="9" fontId="31" fillId="0" borderId="1" xfId="0" applyNumberFormat="1" applyFont="1" applyBorder="1" applyAlignment="1">
      <alignment horizontal="center"/>
    </xf>
    <xf numFmtId="165" fontId="31" fillId="0" borderId="1" xfId="0" applyNumberFormat="1" applyFont="1" applyBorder="1" applyAlignment="1">
      <alignment horizontal="center"/>
    </xf>
    <xf numFmtId="0" fontId="31" fillId="0" borderId="0" xfId="0" applyFont="1" applyAlignment="1">
      <alignment horizontal="center"/>
    </xf>
    <xf numFmtId="0" fontId="32" fillId="0" borderId="0" xfId="0" applyFont="1"/>
    <xf numFmtId="0" fontId="31" fillId="0" borderId="0" xfId="0" applyFont="1"/>
    <xf numFmtId="0" fontId="31" fillId="0" borderId="6" xfId="0" applyFont="1" applyBorder="1"/>
    <xf numFmtId="0" fontId="33" fillId="0" borderId="6" xfId="0" applyFont="1" applyBorder="1" applyAlignment="1">
      <alignment horizontal="center"/>
    </xf>
    <xf numFmtId="0" fontId="31" fillId="0" borderId="7" xfId="0" applyFont="1" applyBorder="1" applyAlignment="1">
      <alignment horizontal="center"/>
    </xf>
    <xf numFmtId="0" fontId="29" fillId="6" borderId="2" xfId="0" applyFont="1" applyFill="1" applyBorder="1" applyAlignment="1">
      <alignment horizontal="center"/>
    </xf>
    <xf numFmtId="0" fontId="34" fillId="7" borderId="6" xfId="1" applyFont="1" applyFill="1" applyBorder="1" applyAlignment="1">
      <alignment horizontal="center"/>
    </xf>
    <xf numFmtId="9" fontId="34" fillId="7" borderId="6" xfId="2" applyFont="1" applyFill="1" applyBorder="1" applyAlignment="1">
      <alignment horizontal="center"/>
    </xf>
    <xf numFmtId="0" fontId="34" fillId="8" borderId="0" xfId="1" applyFont="1" applyFill="1"/>
    <xf numFmtId="0" fontId="34" fillId="8" borderId="0" xfId="1" applyFont="1" applyFill="1" applyAlignment="1">
      <alignment horizontal="center"/>
    </xf>
    <xf numFmtId="0" fontId="1" fillId="8" borderId="0" xfId="1" applyFill="1"/>
    <xf numFmtId="0" fontId="1" fillId="0" borderId="6" xfId="1" applyBorder="1" applyAlignment="1">
      <alignment horizontal="center"/>
    </xf>
    <xf numFmtId="14" fontId="1" fillId="0" borderId="6" xfId="1" applyNumberFormat="1" applyBorder="1" applyAlignment="1">
      <alignment horizontal="center"/>
    </xf>
    <xf numFmtId="9" fontId="0" fillId="0" borderId="6" xfId="2" applyFont="1" applyBorder="1" applyAlignment="1">
      <alignment horizontal="center"/>
    </xf>
    <xf numFmtId="0" fontId="1" fillId="8" borderId="6" xfId="1" applyFill="1" applyBorder="1" applyAlignment="1">
      <alignment horizontal="center"/>
    </xf>
    <xf numFmtId="0" fontId="1" fillId="8" borderId="0" xfId="1" applyFill="1" applyAlignment="1">
      <alignment horizontal="center"/>
    </xf>
    <xf numFmtId="0" fontId="1" fillId="0" borderId="0" xfId="1" applyAlignment="1">
      <alignment horizontal="center"/>
    </xf>
    <xf numFmtId="0" fontId="1" fillId="0" borderId="0" xfId="1"/>
    <xf numFmtId="0" fontId="31" fillId="9" borderId="6" xfId="0" applyFont="1" applyFill="1" applyBorder="1"/>
    <xf numFmtId="0" fontId="1" fillId="0" borderId="0" xfId="1" applyBorder="1" applyAlignment="1">
      <alignment horizontal="center"/>
    </xf>
    <xf numFmtId="0" fontId="14" fillId="0" borderId="0" xfId="0" applyFont="1"/>
    <xf numFmtId="0" fontId="31" fillId="0" borderId="0" xfId="0" applyFont="1"/>
    <xf numFmtId="0" fontId="31" fillId="0" borderId="0" xfId="0" applyFont="1"/>
    <xf numFmtId="0" fontId="3" fillId="0" borderId="0" xfId="0" applyFont="1"/>
    <xf numFmtId="0" fontId="0" fillId="0" borderId="0" xfId="0"/>
    <xf numFmtId="0" fontId="9" fillId="0" borderId="0" xfId="0" applyFont="1" applyAlignment="1">
      <alignment horizontal="left"/>
    </xf>
    <xf numFmtId="0" fontId="2" fillId="0" borderId="0" xfId="0" applyFont="1"/>
    <xf numFmtId="0" fontId="10" fillId="0" borderId="0" xfId="0" applyFont="1"/>
    <xf numFmtId="0" fontId="3" fillId="0" borderId="0" xfId="0" applyFont="1" applyAlignment="1">
      <alignment horizontal="left"/>
    </xf>
    <xf numFmtId="0" fontId="8" fillId="0" borderId="0" xfId="0" applyFont="1"/>
    <xf numFmtId="0" fontId="5" fillId="0" borderId="0" xfId="0" applyFont="1"/>
    <xf numFmtId="0" fontId="6" fillId="0" borderId="0" xfId="0" applyFont="1"/>
    <xf numFmtId="0" fontId="4" fillId="0" borderId="0" xfId="0" applyFont="1"/>
    <xf numFmtId="0" fontId="11" fillId="0" borderId="0" xfId="0" applyFont="1"/>
    <xf numFmtId="0" fontId="16" fillId="0" borderId="0" xfId="0" applyFont="1"/>
    <xf numFmtId="0" fontId="14" fillId="0" borderId="0" xfId="0" applyFont="1"/>
    <xf numFmtId="0" fontId="17" fillId="0" borderId="0" xfId="0" applyFont="1"/>
    <xf numFmtId="0" fontId="15" fillId="0" borderId="0" xfId="0" applyFont="1"/>
    <xf numFmtId="0" fontId="21" fillId="0" borderId="0" xfId="0" applyFont="1"/>
    <xf numFmtId="0" fontId="15" fillId="0" borderId="0" xfId="0" applyFont="1" applyAlignment="1">
      <alignment horizontal="left"/>
    </xf>
    <xf numFmtId="0" fontId="27" fillId="0" borderId="0" xfId="0" applyFont="1"/>
    <xf numFmtId="0" fontId="5" fillId="5" borderId="0" xfId="0" applyFont="1" applyFill="1"/>
    <xf numFmtId="0" fontId="9" fillId="0" borderId="0" xfId="0" applyFont="1"/>
    <xf numFmtId="0" fontId="23" fillId="0" borderId="0" xfId="0" applyFont="1"/>
    <xf numFmtId="0" fontId="31" fillId="0" borderId="0" xfId="0" applyFont="1"/>
    <xf numFmtId="0" fontId="33" fillId="0" borderId="0" xfId="0" applyFont="1"/>
  </cellXfs>
  <cellStyles count="3">
    <cellStyle name="Normal" xfId="0" builtinId="0"/>
    <cellStyle name="Normal 2" xfId="1"/>
    <cellStyle name="Percent 2" xfId="2"/>
  </cellStyles>
  <dxfs count="1">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welcome/Downloads/FMC%20Module%202_part%20B(revised)%20v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khilesh/Downloads/FMC%20Module%202_part%20B.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welcome/AppData/Roaming/Microsoft/Excel/FMC%20Module%202_part%20B.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Rupali/Downloads/FMC%20Module%202_part%20B(revised).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tro"/>
      <sheetName val="OFFSET"/>
      <sheetName val="Name Ranges"/>
      <sheetName val="Dynamic Name range"/>
      <sheetName val="Data Validation"/>
      <sheetName val="Indirect"/>
      <sheetName val="Sales"/>
      <sheetName val="Exercise"/>
      <sheetName val="Home Assignment"/>
      <sheetName val="Disclaimer"/>
    </sheetNames>
    <sheetDataSet>
      <sheetData sheetId="0"/>
      <sheetData sheetId="1">
        <row r="1">
          <cell r="A1" t="str">
            <v>OFFSET</v>
          </cell>
        </row>
        <row r="23">
          <cell r="D23">
            <v>7306</v>
          </cell>
        </row>
        <row r="24">
          <cell r="D24">
            <v>6402</v>
          </cell>
        </row>
        <row r="25">
          <cell r="D25">
            <v>1012.95</v>
          </cell>
        </row>
        <row r="26">
          <cell r="D26">
            <v>545</v>
          </cell>
        </row>
        <row r="27">
          <cell r="D27">
            <v>1736</v>
          </cell>
        </row>
        <row r="28">
          <cell r="D28">
            <v>2833</v>
          </cell>
        </row>
        <row r="29">
          <cell r="D29">
            <v>1249.9000000000001</v>
          </cell>
        </row>
        <row r="30">
          <cell r="D30">
            <v>1350</v>
          </cell>
        </row>
        <row r="31">
          <cell r="D31">
            <v>1979</v>
          </cell>
        </row>
        <row r="32">
          <cell r="D32">
            <v>61.3</v>
          </cell>
        </row>
        <row r="33">
          <cell r="D33">
            <v>173.9</v>
          </cell>
        </row>
        <row r="34">
          <cell r="D34">
            <v>597</v>
          </cell>
        </row>
        <row r="35">
          <cell r="D35">
            <v>766</v>
          </cell>
        </row>
        <row r="36">
          <cell r="D36">
            <v>563.4</v>
          </cell>
        </row>
        <row r="37">
          <cell r="D37">
            <v>1800</v>
          </cell>
        </row>
        <row r="38">
          <cell r="D38">
            <v>135.1</v>
          </cell>
        </row>
        <row r="39">
          <cell r="D39">
            <v>306.8</v>
          </cell>
        </row>
        <row r="40">
          <cell r="D40">
            <v>485.15</v>
          </cell>
        </row>
        <row r="41">
          <cell r="D41">
            <v>341</v>
          </cell>
        </row>
      </sheetData>
      <sheetData sheetId="2">
        <row r="9">
          <cell r="B9" t="str">
            <v>Product</v>
          </cell>
          <cell r="C9" t="str">
            <v>Category</v>
          </cell>
          <cell r="D9" t="str">
            <v>Amount</v>
          </cell>
        </row>
        <row r="10">
          <cell r="B10" t="str">
            <v>Carrots</v>
          </cell>
          <cell r="C10" t="str">
            <v>Vegetables</v>
          </cell>
          <cell r="D10">
            <v>4270</v>
          </cell>
        </row>
        <row r="11">
          <cell r="B11" t="str">
            <v>Broccoli</v>
          </cell>
          <cell r="C11" t="str">
            <v>Vegetables</v>
          </cell>
          <cell r="D11">
            <v>8239</v>
          </cell>
        </row>
        <row r="12">
          <cell r="B12" t="str">
            <v>Banana</v>
          </cell>
          <cell r="C12" t="str">
            <v>Fruit</v>
          </cell>
          <cell r="D12">
            <v>617</v>
          </cell>
        </row>
        <row r="13">
          <cell r="B13" t="str">
            <v>Banana</v>
          </cell>
          <cell r="C13" t="str">
            <v>Fruit</v>
          </cell>
          <cell r="D13">
            <v>8384</v>
          </cell>
        </row>
        <row r="14">
          <cell r="B14" t="str">
            <v>Beans</v>
          </cell>
          <cell r="C14" t="str">
            <v>Vegetables</v>
          </cell>
          <cell r="D14">
            <v>2626</v>
          </cell>
        </row>
        <row r="15">
          <cell r="B15" t="str">
            <v>Orange</v>
          </cell>
          <cell r="C15" t="str">
            <v>Fruit</v>
          </cell>
          <cell r="D15">
            <v>3610</v>
          </cell>
        </row>
        <row r="16">
          <cell r="B16" t="str">
            <v>Broccoli</v>
          </cell>
          <cell r="C16" t="str">
            <v>Vegetables</v>
          </cell>
          <cell r="D16">
            <v>9062</v>
          </cell>
        </row>
        <row r="17">
          <cell r="B17" t="str">
            <v>Banana</v>
          </cell>
          <cell r="C17" t="str">
            <v>Fruit</v>
          </cell>
          <cell r="D17">
            <v>6906</v>
          </cell>
        </row>
        <row r="18">
          <cell r="B18" t="str">
            <v>Apple</v>
          </cell>
          <cell r="C18" t="str">
            <v>Fruit</v>
          </cell>
          <cell r="D18">
            <v>2417</v>
          </cell>
        </row>
        <row r="19">
          <cell r="B19" t="str">
            <v>Apple</v>
          </cell>
          <cell r="C19" t="str">
            <v>Fruit</v>
          </cell>
          <cell r="D19">
            <v>7431</v>
          </cell>
        </row>
        <row r="20">
          <cell r="B20" t="str">
            <v>Banana</v>
          </cell>
          <cell r="C20" t="str">
            <v>Fruit</v>
          </cell>
          <cell r="D20">
            <v>8250</v>
          </cell>
        </row>
        <row r="21">
          <cell r="B21" t="str">
            <v>Broccoli</v>
          </cell>
          <cell r="C21" t="str">
            <v>Vegetables</v>
          </cell>
          <cell r="D21">
            <v>7012</v>
          </cell>
        </row>
        <row r="22">
          <cell r="B22" t="str">
            <v>Carrots</v>
          </cell>
          <cell r="C22" t="str">
            <v>Vegetables</v>
          </cell>
          <cell r="D22">
            <v>1903</v>
          </cell>
        </row>
        <row r="23">
          <cell r="B23" t="str">
            <v>Broccoli</v>
          </cell>
          <cell r="C23" t="str">
            <v>Vegetables</v>
          </cell>
          <cell r="D23">
            <v>2824</v>
          </cell>
        </row>
        <row r="24">
          <cell r="B24" t="str">
            <v>Apple</v>
          </cell>
          <cell r="C24" t="str">
            <v>Fruit</v>
          </cell>
          <cell r="D24">
            <v>6946</v>
          </cell>
        </row>
        <row r="25">
          <cell r="B25" t="str">
            <v>Banana</v>
          </cell>
          <cell r="C25" t="str">
            <v>Fruit</v>
          </cell>
          <cell r="D25">
            <v>2320</v>
          </cell>
        </row>
        <row r="26">
          <cell r="B26" t="str">
            <v>Banana</v>
          </cell>
          <cell r="C26" t="str">
            <v>Fruit</v>
          </cell>
          <cell r="D26">
            <v>2116</v>
          </cell>
        </row>
        <row r="27">
          <cell r="B27" t="str">
            <v>Banana</v>
          </cell>
          <cell r="C27" t="str">
            <v>Fruit</v>
          </cell>
          <cell r="D27">
            <v>1135</v>
          </cell>
        </row>
        <row r="28">
          <cell r="B28" t="str">
            <v>Broccoli</v>
          </cell>
          <cell r="C28" t="str">
            <v>Vegetables</v>
          </cell>
          <cell r="D28">
            <v>3595</v>
          </cell>
        </row>
        <row r="29">
          <cell r="B29" t="str">
            <v>Apple</v>
          </cell>
          <cell r="C29" t="str">
            <v>Fruit</v>
          </cell>
          <cell r="D29">
            <v>1161</v>
          </cell>
        </row>
      </sheetData>
      <sheetData sheetId="3">
        <row r="27">
          <cell r="D27" t="str">
            <v>Amount</v>
          </cell>
        </row>
        <row r="28">
          <cell r="D28">
            <v>4270</v>
          </cell>
        </row>
        <row r="29">
          <cell r="D29">
            <v>8239</v>
          </cell>
        </row>
        <row r="30">
          <cell r="D30">
            <v>617</v>
          </cell>
        </row>
        <row r="31">
          <cell r="D31">
            <v>8384</v>
          </cell>
        </row>
        <row r="32">
          <cell r="D32">
            <v>2626</v>
          </cell>
        </row>
        <row r="33">
          <cell r="D33">
            <v>3610</v>
          </cell>
        </row>
        <row r="34">
          <cell r="D34">
            <v>9062</v>
          </cell>
        </row>
        <row r="35">
          <cell r="D35">
            <v>6906</v>
          </cell>
        </row>
        <row r="36">
          <cell r="D36">
            <v>2417</v>
          </cell>
        </row>
        <row r="37">
          <cell r="D37">
            <v>7431</v>
          </cell>
        </row>
        <row r="38">
          <cell r="D38">
            <v>8250</v>
          </cell>
        </row>
        <row r="39">
          <cell r="D39">
            <v>7012</v>
          </cell>
        </row>
        <row r="40">
          <cell r="D40">
            <v>1903</v>
          </cell>
        </row>
        <row r="41">
          <cell r="D41">
            <v>2824</v>
          </cell>
        </row>
        <row r="42">
          <cell r="D42">
            <v>6946</v>
          </cell>
        </row>
        <row r="43">
          <cell r="D43">
            <v>2320</v>
          </cell>
        </row>
        <row r="44">
          <cell r="D44">
            <v>2116</v>
          </cell>
        </row>
        <row r="45">
          <cell r="D45">
            <v>1135</v>
          </cell>
        </row>
        <row r="46">
          <cell r="D46">
            <v>3595</v>
          </cell>
        </row>
        <row r="47">
          <cell r="D47">
            <v>1161</v>
          </cell>
        </row>
        <row r="48">
          <cell r="D48">
            <v>2000</v>
          </cell>
        </row>
        <row r="49">
          <cell r="D49">
            <v>3500</v>
          </cell>
        </row>
        <row r="55">
          <cell r="D55" t="str">
            <v>Total Value (Lacs)</v>
          </cell>
        </row>
        <row r="56">
          <cell r="C56">
            <v>9089221</v>
          </cell>
          <cell r="D56">
            <v>17980489</v>
          </cell>
        </row>
        <row r="57">
          <cell r="C57">
            <v>9760484</v>
          </cell>
          <cell r="D57">
            <v>17527363.18</v>
          </cell>
        </row>
        <row r="58">
          <cell r="C58">
            <v>10001727</v>
          </cell>
          <cell r="D58">
            <v>17994981.5</v>
          </cell>
        </row>
        <row r="59">
          <cell r="C59">
            <v>9663715</v>
          </cell>
          <cell r="D59">
            <v>17561070.640000001</v>
          </cell>
        </row>
        <row r="60">
          <cell r="C60">
            <v>8926485</v>
          </cell>
          <cell r="D60">
            <v>17852871.469999999</v>
          </cell>
        </row>
        <row r="61">
          <cell r="C61">
            <v>8627574</v>
          </cell>
          <cell r="D61">
            <v>16887946.420000002</v>
          </cell>
        </row>
        <row r="62">
          <cell r="C62">
            <v>8363392</v>
          </cell>
          <cell r="D62">
            <v>17470835.650000002</v>
          </cell>
        </row>
      </sheetData>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Pivot SubCategory"/>
      <sheetName val="OFFSET"/>
      <sheetName val="MATCH &amp; INDEX"/>
    </sheetNames>
    <sheetDataSet>
      <sheetData sheetId="0"/>
      <sheetData sheetId="1"/>
      <sheetData sheetId="2">
        <row r="5">
          <cell r="H5">
            <v>805004</v>
          </cell>
        </row>
        <row r="6">
          <cell r="H6">
            <v>674882</v>
          </cell>
        </row>
        <row r="7">
          <cell r="H7">
            <v>1646767</v>
          </cell>
        </row>
        <row r="8">
          <cell r="H8">
            <v>247924</v>
          </cell>
        </row>
        <row r="9">
          <cell r="H9">
            <v>402906</v>
          </cell>
        </row>
        <row r="10">
          <cell r="H10">
            <v>598973</v>
          </cell>
        </row>
        <row r="11">
          <cell r="H11">
            <v>1500406</v>
          </cell>
        </row>
        <row r="12">
          <cell r="H12">
            <v>415785</v>
          </cell>
        </row>
        <row r="13">
          <cell r="H13">
            <v>885334</v>
          </cell>
        </row>
        <row r="14">
          <cell r="H14">
            <v>1468816</v>
          </cell>
        </row>
        <row r="15">
          <cell r="H15">
            <v>669490</v>
          </cell>
        </row>
        <row r="16">
          <cell r="H16">
            <v>5687160</v>
          </cell>
        </row>
        <row r="17">
          <cell r="H17">
            <v>2522507</v>
          </cell>
        </row>
        <row r="18">
          <cell r="H18">
            <v>569666</v>
          </cell>
        </row>
        <row r="19">
          <cell r="H19">
            <v>45949</v>
          </cell>
        </row>
        <row r="20">
          <cell r="H20">
            <v>50236</v>
          </cell>
        </row>
        <row r="21">
          <cell r="H21">
            <v>384872</v>
          </cell>
        </row>
        <row r="22">
          <cell r="H22">
            <v>166076</v>
          </cell>
        </row>
        <row r="23">
          <cell r="H23">
            <v>1683176</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Pivot SubCategory"/>
      <sheetName val="OFFSET"/>
      <sheetName val="MATCH &amp; INDEX"/>
    </sheetNames>
    <sheetDataSet>
      <sheetData sheetId="0"/>
      <sheetData sheetId="1"/>
      <sheetData sheetId="2">
        <row r="5">
          <cell r="H5">
            <v>805004</v>
          </cell>
        </row>
        <row r="6">
          <cell r="H6">
            <v>674882</v>
          </cell>
        </row>
        <row r="7">
          <cell r="H7">
            <v>1646767</v>
          </cell>
        </row>
        <row r="8">
          <cell r="H8">
            <v>247924</v>
          </cell>
        </row>
        <row r="9">
          <cell r="H9">
            <v>402906</v>
          </cell>
        </row>
        <row r="10">
          <cell r="H10">
            <v>598973</v>
          </cell>
        </row>
        <row r="11">
          <cell r="H11">
            <v>1500406</v>
          </cell>
        </row>
        <row r="12">
          <cell r="H12">
            <v>415785</v>
          </cell>
        </row>
        <row r="13">
          <cell r="H13">
            <v>885334</v>
          </cell>
        </row>
        <row r="14">
          <cell r="H14">
            <v>1468816</v>
          </cell>
        </row>
        <row r="15">
          <cell r="H15">
            <v>669490</v>
          </cell>
        </row>
        <row r="16">
          <cell r="H16">
            <v>5687160</v>
          </cell>
        </row>
        <row r="17">
          <cell r="H17">
            <v>2522507</v>
          </cell>
        </row>
        <row r="18">
          <cell r="H18">
            <v>569666</v>
          </cell>
        </row>
        <row r="19">
          <cell r="H19">
            <v>45949</v>
          </cell>
        </row>
        <row r="20">
          <cell r="H20">
            <v>50236</v>
          </cell>
        </row>
        <row r="21">
          <cell r="H21">
            <v>384872</v>
          </cell>
        </row>
        <row r="22">
          <cell r="H22">
            <v>166076</v>
          </cell>
        </row>
        <row r="23">
          <cell r="H23">
            <v>1683176</v>
          </cell>
        </row>
      </sheetData>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OFFSET"/>
      <sheetName val="Name Ranges"/>
      <sheetName val="Dynamic Name range"/>
      <sheetName val="Data Validation"/>
      <sheetName val="Indirect"/>
      <sheetName val="Sales"/>
      <sheetName val="Exercise"/>
      <sheetName val="Home Assignment"/>
    </sheetNames>
    <sheetDataSet>
      <sheetData sheetId="0">
        <row r="1">
          <cell r="A1" t="str">
            <v>OFFSET</v>
          </cell>
        </row>
        <row r="2">
          <cell r="A2" t="str">
            <v>OFFSET function is used in those cases where data is dynamic and not static in nature.</v>
          </cell>
        </row>
        <row r="4">
          <cell r="A4" t="str">
            <v>Offset function return the value of a cell that is specified number of rows and columns away from a cell or range of cells that a user referenced in an adjacent range.</v>
          </cell>
        </row>
        <row r="6">
          <cell r="A6" t="str">
            <v>SYNTAX</v>
          </cell>
        </row>
        <row r="7">
          <cell r="A7" t="str">
            <v>OFFSET(reference, rows, cols,[height, width]</v>
          </cell>
        </row>
        <row r="9">
          <cell r="A9" t="str">
            <v>reference - The reference from which the user wants the base to offset.</v>
          </cell>
        </row>
        <row r="12">
          <cell r="A12" t="str">
            <v>rows - The number of rows, up or down, that the user wants to offset from the reference.</v>
          </cell>
        </row>
        <row r="13">
          <cell r="A13" t="str">
            <v xml:space="preserve">              It can be positive (below the origin) or negative (above the origin)</v>
          </cell>
        </row>
        <row r="15">
          <cell r="A15" t="str">
            <v>Cols - the number of columns that the user wants to offset from the reference point. Columns can be positive (to the right if the origin) or negative (to the left of the origin)</v>
          </cell>
        </row>
        <row r="17">
          <cell r="A17" t="str">
            <v>height- It can only be a positive number. The height in  number of rows that the user wants to returned the reference to be.</v>
          </cell>
        </row>
        <row r="19">
          <cell r="A19" t="str">
            <v>width- The width is in the number of columns that the user wants to returned the reference to be. It can only be a positive number.</v>
          </cell>
        </row>
        <row r="22">
          <cell r="A22" t="str">
            <v>Security Code</v>
          </cell>
          <cell r="B22" t="str">
            <v>Security Name</v>
          </cell>
          <cell r="C22" t="str">
            <v>Security Group</v>
          </cell>
          <cell r="D22" t="str">
            <v>Open</v>
          </cell>
          <cell r="E22" t="str">
            <v>High</v>
          </cell>
          <cell r="F22" t="str">
            <v>Low</v>
          </cell>
          <cell r="G22" t="str">
            <v>LTP</v>
          </cell>
          <cell r="H22" t="str">
            <v>No. of Shares Traded</v>
          </cell>
          <cell r="I22" t="str">
            <v>Total Turnover (Lac)</v>
          </cell>
          <cell r="J22" t="str">
            <v>No. of Trades</v>
          </cell>
        </row>
        <row r="23">
          <cell r="A23">
            <v>504084</v>
          </cell>
        </row>
        <row r="24">
          <cell r="A24">
            <v>500488</v>
          </cell>
        </row>
        <row r="25">
          <cell r="A25">
            <v>532830</v>
          </cell>
        </row>
        <row r="26">
          <cell r="A26">
            <v>505537</v>
          </cell>
        </row>
        <row r="27">
          <cell r="A27">
            <v>532540</v>
          </cell>
        </row>
        <row r="28">
          <cell r="A28">
            <v>500490</v>
          </cell>
        </row>
        <row r="29">
          <cell r="A29">
            <v>500209</v>
          </cell>
        </row>
        <row r="30">
          <cell r="A30">
            <v>532689</v>
          </cell>
        </row>
        <row r="31">
          <cell r="A31">
            <v>500124</v>
          </cell>
        </row>
        <row r="32">
          <cell r="A32">
            <v>500116</v>
          </cell>
        </row>
        <row r="33">
          <cell r="A33">
            <v>530965</v>
          </cell>
        </row>
        <row r="34">
          <cell r="A34">
            <v>500470</v>
          </cell>
        </row>
        <row r="35">
          <cell r="A35">
            <v>500257</v>
          </cell>
        </row>
        <row r="36">
          <cell r="A36">
            <v>535648</v>
          </cell>
        </row>
        <row r="37">
          <cell r="A37">
            <v>512573</v>
          </cell>
        </row>
        <row r="38">
          <cell r="A38">
            <v>534809</v>
          </cell>
        </row>
        <row r="39">
          <cell r="A39">
            <v>500570</v>
          </cell>
        </row>
        <row r="40">
          <cell r="A40">
            <v>524715</v>
          </cell>
        </row>
        <row r="41">
          <cell r="A41">
            <v>532531</v>
          </cell>
        </row>
        <row r="46">
          <cell r="A46" t="str">
            <v>TCS</v>
          </cell>
        </row>
        <row r="47">
          <cell r="A47" t="str">
            <v>TATASTEEL</v>
          </cell>
        </row>
      </sheetData>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25"/>
  <sheetViews>
    <sheetView showGridLines="0" topLeftCell="G1" zoomScale="115" zoomScaleNormal="115" workbookViewId="0">
      <selection activeCell="V8" sqref="V8"/>
    </sheetView>
  </sheetViews>
  <sheetFormatPr defaultColWidth="8.85546875" defaultRowHeight="14.25"/>
  <cols>
    <col min="1" max="1" width="8.85546875" style="88"/>
    <col min="2" max="2" width="14.7109375" style="88" bestFit="1" customWidth="1"/>
    <col min="3" max="3" width="11.42578125" style="88" bestFit="1" customWidth="1"/>
    <col min="4" max="4" width="10.28515625" style="88" bestFit="1" customWidth="1"/>
    <col min="5" max="5" width="12.7109375" style="88" bestFit="1" customWidth="1"/>
    <col min="6" max="6" width="16.140625" style="88" bestFit="1" customWidth="1"/>
    <col min="7" max="7" width="11.28515625" style="88" bestFit="1" customWidth="1"/>
    <col min="8" max="8" width="11.85546875" style="88" bestFit="1" customWidth="1"/>
    <col min="9" max="9" width="12.42578125" style="88" bestFit="1" customWidth="1"/>
    <col min="10" max="10" width="12.85546875" style="88" bestFit="1" customWidth="1"/>
    <col min="11" max="11" width="12.140625" style="88" bestFit="1" customWidth="1"/>
    <col min="12" max="12" width="16.28515625" style="88" bestFit="1" customWidth="1"/>
    <col min="13" max="13" width="13.140625" style="88" bestFit="1" customWidth="1"/>
    <col min="14" max="14" width="13.42578125" style="88" bestFit="1" customWidth="1"/>
    <col min="15" max="18" width="8.85546875" style="88"/>
    <col min="19" max="19" width="12.5703125" style="88" bestFit="1" customWidth="1"/>
    <col min="20" max="16384" width="8.85546875" style="88"/>
  </cols>
  <sheetData>
    <row r="1" spans="1:32" s="81" customFormat="1" ht="15.75">
      <c r="A1" s="77" t="s">
        <v>27</v>
      </c>
      <c r="B1" s="77" t="s">
        <v>28</v>
      </c>
      <c r="C1" s="77" t="s">
        <v>29</v>
      </c>
      <c r="D1" s="77" t="s">
        <v>30</v>
      </c>
      <c r="E1" s="77" t="s">
        <v>111</v>
      </c>
      <c r="F1" s="77" t="s">
        <v>113</v>
      </c>
      <c r="G1" s="77" t="s">
        <v>114</v>
      </c>
      <c r="H1" s="77" t="s">
        <v>115</v>
      </c>
      <c r="I1" s="77" t="s">
        <v>116</v>
      </c>
      <c r="J1" s="77" t="s">
        <v>117</v>
      </c>
      <c r="K1" s="77" t="s">
        <v>118</v>
      </c>
      <c r="L1" s="77" t="s">
        <v>255</v>
      </c>
      <c r="M1" s="77" t="s">
        <v>119</v>
      </c>
      <c r="N1" s="77" t="s">
        <v>256</v>
      </c>
      <c r="O1" s="77" t="s">
        <v>257</v>
      </c>
      <c r="P1" s="77" t="s">
        <v>121</v>
      </c>
      <c r="Q1" s="78" t="s">
        <v>122</v>
      </c>
      <c r="R1" s="77" t="s">
        <v>123</v>
      </c>
      <c r="S1" s="77" t="s">
        <v>112</v>
      </c>
      <c r="T1" s="77" t="s">
        <v>394</v>
      </c>
      <c r="U1" s="79"/>
      <c r="V1" s="79"/>
      <c r="W1" s="80"/>
      <c r="X1" s="80"/>
      <c r="Y1" s="80"/>
      <c r="Z1" s="80"/>
      <c r="AA1" s="79"/>
      <c r="AB1" s="79"/>
      <c r="AC1" s="79"/>
      <c r="AD1" s="79"/>
      <c r="AE1" s="79"/>
      <c r="AF1" s="79" t="s">
        <v>395</v>
      </c>
    </row>
    <row r="2" spans="1:32">
      <c r="A2" s="82">
        <v>6100</v>
      </c>
      <c r="B2" s="82" t="s">
        <v>263</v>
      </c>
      <c r="C2" s="83">
        <v>42998</v>
      </c>
      <c r="D2" s="83">
        <v>43004</v>
      </c>
      <c r="E2" s="82" t="s">
        <v>128</v>
      </c>
      <c r="F2" s="82" t="s">
        <v>264</v>
      </c>
      <c r="G2" s="82" t="s">
        <v>131</v>
      </c>
      <c r="H2" s="82" t="s">
        <v>132</v>
      </c>
      <c r="I2" s="82" t="s">
        <v>265</v>
      </c>
      <c r="J2" s="82" t="s">
        <v>266</v>
      </c>
      <c r="K2" s="82">
        <v>10035</v>
      </c>
      <c r="L2" s="82" t="s">
        <v>267</v>
      </c>
      <c r="M2" s="82" t="s">
        <v>135</v>
      </c>
      <c r="N2" s="82" t="s">
        <v>268</v>
      </c>
      <c r="O2" s="82">
        <v>2888.1270000000004</v>
      </c>
      <c r="P2" s="82">
        <v>11</v>
      </c>
      <c r="Q2" s="84">
        <v>0.1</v>
      </c>
      <c r="R2" s="82">
        <v>609.71569999999997</v>
      </c>
      <c r="S2" s="82" t="s">
        <v>269</v>
      </c>
      <c r="T2" s="85"/>
      <c r="U2" s="86"/>
      <c r="V2" s="86"/>
      <c r="W2" s="86"/>
      <c r="X2" s="86"/>
      <c r="Y2" s="86"/>
      <c r="Z2" s="86"/>
      <c r="AA2" s="86"/>
      <c r="AB2" s="86"/>
      <c r="AC2" s="86"/>
      <c r="AD2" s="86"/>
      <c r="AE2" s="86"/>
      <c r="AF2" s="87" t="str">
        <f>IF(J2="Florida",IF(M2="Technology",IF(O2&gt;300,"A","B"),""),"")</f>
        <v/>
      </c>
    </row>
    <row r="3" spans="1:32">
      <c r="A3" s="82">
        <v>6117</v>
      </c>
      <c r="B3" s="82" t="s">
        <v>270</v>
      </c>
      <c r="C3" s="83">
        <v>42687</v>
      </c>
      <c r="D3" s="83">
        <v>42693</v>
      </c>
      <c r="E3" s="82" t="s">
        <v>128</v>
      </c>
      <c r="F3" s="82" t="s">
        <v>271</v>
      </c>
      <c r="G3" s="82" t="s">
        <v>272</v>
      </c>
      <c r="H3" s="82" t="s">
        <v>132</v>
      </c>
      <c r="I3" s="82" t="s">
        <v>265</v>
      </c>
      <c r="J3" s="82" t="s">
        <v>266</v>
      </c>
      <c r="K3" s="82">
        <v>10011</v>
      </c>
      <c r="L3" s="82" t="s">
        <v>273</v>
      </c>
      <c r="M3" s="82" t="s">
        <v>163</v>
      </c>
      <c r="N3" s="82" t="s">
        <v>274</v>
      </c>
      <c r="O3" s="82">
        <v>2279.96</v>
      </c>
      <c r="P3" s="82">
        <v>4</v>
      </c>
      <c r="Q3" s="84">
        <v>0</v>
      </c>
      <c r="R3" s="82">
        <v>592.78960000000006</v>
      </c>
      <c r="S3" s="82" t="s">
        <v>275</v>
      </c>
      <c r="T3" s="85"/>
      <c r="U3" s="86"/>
      <c r="V3" s="86"/>
      <c r="W3" s="86"/>
      <c r="X3" s="86"/>
      <c r="Y3" s="86"/>
      <c r="Z3" s="86"/>
      <c r="AA3" s="86"/>
      <c r="AB3" s="86"/>
      <c r="AC3" s="86"/>
      <c r="AD3" s="86"/>
      <c r="AE3" s="86"/>
      <c r="AF3" s="87" t="str">
        <f t="shared" ref="AF3:AF25" si="0">IF(J3="Florida",IF(M3="Technology",IF(O3&gt;300,"A","B"),""),"")</f>
        <v/>
      </c>
    </row>
    <row r="4" spans="1:32">
      <c r="A4" s="82">
        <v>6176</v>
      </c>
      <c r="B4" s="82" t="s">
        <v>276</v>
      </c>
      <c r="C4" s="83">
        <v>42268</v>
      </c>
      <c r="D4" s="83">
        <v>42273</v>
      </c>
      <c r="E4" s="82" t="s">
        <v>128</v>
      </c>
      <c r="F4" s="82" t="s">
        <v>277</v>
      </c>
      <c r="G4" s="82" t="s">
        <v>131</v>
      </c>
      <c r="H4" s="82" t="s">
        <v>132</v>
      </c>
      <c r="I4" s="82" t="s">
        <v>278</v>
      </c>
      <c r="J4" s="82" t="s">
        <v>279</v>
      </c>
      <c r="K4" s="82">
        <v>29203</v>
      </c>
      <c r="L4" s="82" t="s">
        <v>280</v>
      </c>
      <c r="M4" s="82" t="s">
        <v>135</v>
      </c>
      <c r="N4" s="82" t="s">
        <v>268</v>
      </c>
      <c r="O4" s="82">
        <v>1690.04</v>
      </c>
      <c r="P4" s="82">
        <v>4</v>
      </c>
      <c r="Q4" s="84">
        <v>0</v>
      </c>
      <c r="R4" s="82">
        <v>422.51</v>
      </c>
      <c r="S4" s="82" t="s">
        <v>281</v>
      </c>
      <c r="T4" s="85"/>
      <c r="U4" s="86"/>
      <c r="V4" s="86"/>
      <c r="W4" s="86"/>
      <c r="X4" s="86"/>
      <c r="Y4" s="86"/>
      <c r="Z4" s="86"/>
      <c r="AA4" s="86"/>
      <c r="AB4" s="86"/>
      <c r="AC4" s="86"/>
      <c r="AD4" s="86"/>
      <c r="AE4" s="86"/>
      <c r="AF4" s="87" t="str">
        <f t="shared" si="0"/>
        <v/>
      </c>
    </row>
    <row r="5" spans="1:32">
      <c r="A5" s="82">
        <v>6102</v>
      </c>
      <c r="B5" s="82" t="s">
        <v>263</v>
      </c>
      <c r="C5" s="83">
        <v>42998</v>
      </c>
      <c r="D5" s="83">
        <v>43004</v>
      </c>
      <c r="E5" s="82" t="s">
        <v>128</v>
      </c>
      <c r="F5" s="82" t="s">
        <v>264</v>
      </c>
      <c r="G5" s="82" t="s">
        <v>131</v>
      </c>
      <c r="H5" s="82" t="s">
        <v>132</v>
      </c>
      <c r="I5" s="82" t="s">
        <v>265</v>
      </c>
      <c r="J5" s="82" t="s">
        <v>266</v>
      </c>
      <c r="K5" s="82">
        <v>10035</v>
      </c>
      <c r="L5" s="82" t="s">
        <v>282</v>
      </c>
      <c r="M5" s="82" t="s">
        <v>135</v>
      </c>
      <c r="N5" s="82" t="s">
        <v>268</v>
      </c>
      <c r="O5" s="82">
        <v>2254.41</v>
      </c>
      <c r="P5" s="82">
        <v>5</v>
      </c>
      <c r="Q5" s="84">
        <v>0.1</v>
      </c>
      <c r="R5" s="82">
        <v>375.73500000000001</v>
      </c>
      <c r="S5" s="82" t="s">
        <v>269</v>
      </c>
      <c r="T5" s="85"/>
      <c r="U5" s="86"/>
      <c r="V5" s="86"/>
      <c r="W5" s="86"/>
      <c r="X5" s="86"/>
      <c r="Y5" s="86"/>
      <c r="Z5" s="86"/>
      <c r="AA5" s="86"/>
      <c r="AB5" s="86"/>
      <c r="AC5" s="86"/>
      <c r="AD5" s="86"/>
      <c r="AE5" s="86"/>
      <c r="AF5" s="87" t="str">
        <f t="shared" si="0"/>
        <v/>
      </c>
    </row>
    <row r="6" spans="1:32">
      <c r="A6" s="82">
        <v>6015</v>
      </c>
      <c r="B6" s="82" t="s">
        <v>283</v>
      </c>
      <c r="C6" s="83">
        <v>42439</v>
      </c>
      <c r="D6" s="83">
        <v>42440</v>
      </c>
      <c r="E6" s="82" t="s">
        <v>137</v>
      </c>
      <c r="F6" s="82" t="s">
        <v>284</v>
      </c>
      <c r="G6" s="82" t="s">
        <v>272</v>
      </c>
      <c r="H6" s="82" t="s">
        <v>132</v>
      </c>
      <c r="I6" s="82" t="s">
        <v>285</v>
      </c>
      <c r="J6" s="82" t="s">
        <v>134</v>
      </c>
      <c r="K6" s="82">
        <v>90008</v>
      </c>
      <c r="L6" s="82" t="s">
        <v>286</v>
      </c>
      <c r="M6" s="82" t="s">
        <v>163</v>
      </c>
      <c r="N6" s="82" t="s">
        <v>274</v>
      </c>
      <c r="O6" s="82">
        <v>4158.9120000000003</v>
      </c>
      <c r="P6" s="82">
        <v>8</v>
      </c>
      <c r="Q6" s="84">
        <v>0.2</v>
      </c>
      <c r="R6" s="82">
        <v>363.90480000000025</v>
      </c>
      <c r="S6" s="82" t="s">
        <v>287</v>
      </c>
      <c r="T6" s="85"/>
      <c r="U6" s="86"/>
      <c r="V6" s="86"/>
      <c r="W6" s="86"/>
      <c r="X6" s="86"/>
      <c r="Y6" s="86"/>
      <c r="Z6" s="86"/>
      <c r="AA6" s="86"/>
      <c r="AB6" s="86"/>
      <c r="AC6" s="86"/>
      <c r="AD6" s="86"/>
      <c r="AE6" s="86"/>
      <c r="AF6" s="87" t="str">
        <f t="shared" si="0"/>
        <v/>
      </c>
    </row>
    <row r="7" spans="1:32">
      <c r="A7" s="82">
        <v>6101</v>
      </c>
      <c r="B7" s="82" t="s">
        <v>263</v>
      </c>
      <c r="C7" s="83">
        <v>42998</v>
      </c>
      <c r="D7" s="83">
        <v>43004</v>
      </c>
      <c r="E7" s="82" t="s">
        <v>128</v>
      </c>
      <c r="F7" s="82" t="s">
        <v>264</v>
      </c>
      <c r="G7" s="82" t="s">
        <v>131</v>
      </c>
      <c r="H7" s="82" t="s">
        <v>132</v>
      </c>
      <c r="I7" s="82" t="s">
        <v>265</v>
      </c>
      <c r="J7" s="82" t="s">
        <v>266</v>
      </c>
      <c r="K7" s="82">
        <v>10035</v>
      </c>
      <c r="L7" s="82" t="s">
        <v>286</v>
      </c>
      <c r="M7" s="82" t="s">
        <v>163</v>
      </c>
      <c r="N7" s="82" t="s">
        <v>274</v>
      </c>
      <c r="O7" s="82">
        <v>1299.6600000000001</v>
      </c>
      <c r="P7" s="82">
        <v>2</v>
      </c>
      <c r="Q7" s="84">
        <v>0</v>
      </c>
      <c r="R7" s="82">
        <v>350.90820000000008</v>
      </c>
      <c r="S7" s="82" t="s">
        <v>269</v>
      </c>
      <c r="T7" s="85"/>
      <c r="U7" s="86"/>
      <c r="V7" s="86"/>
      <c r="W7" s="86"/>
      <c r="X7" s="86"/>
      <c r="Y7" s="86"/>
      <c r="Z7" s="86"/>
      <c r="AA7" s="86"/>
      <c r="AB7" s="86"/>
      <c r="AC7" s="86"/>
      <c r="AD7" s="86"/>
      <c r="AE7" s="86"/>
      <c r="AF7" s="87" t="str">
        <f t="shared" si="0"/>
        <v/>
      </c>
    </row>
    <row r="8" spans="1:32">
      <c r="A8" s="82">
        <v>6011</v>
      </c>
      <c r="B8" s="82" t="s">
        <v>288</v>
      </c>
      <c r="C8" s="83">
        <v>42368</v>
      </c>
      <c r="D8" s="83">
        <v>42372</v>
      </c>
      <c r="E8" s="82" t="s">
        <v>128</v>
      </c>
      <c r="F8" s="82" t="s">
        <v>289</v>
      </c>
      <c r="G8" s="82" t="s">
        <v>131</v>
      </c>
      <c r="H8" s="82" t="s">
        <v>132</v>
      </c>
      <c r="I8" s="82" t="s">
        <v>285</v>
      </c>
      <c r="J8" s="82" t="s">
        <v>134</v>
      </c>
      <c r="K8" s="82">
        <v>90049</v>
      </c>
      <c r="L8" s="82" t="s">
        <v>290</v>
      </c>
      <c r="M8" s="82" t="s">
        <v>163</v>
      </c>
      <c r="N8" s="82" t="s">
        <v>291</v>
      </c>
      <c r="O8" s="82">
        <v>2548.5600000000004</v>
      </c>
      <c r="P8" s="82">
        <v>6</v>
      </c>
      <c r="Q8" s="84">
        <v>0.2</v>
      </c>
      <c r="R8" s="82">
        <v>286.71299999999962</v>
      </c>
      <c r="S8" s="82" t="s">
        <v>292</v>
      </c>
      <c r="T8" s="85"/>
      <c r="U8" s="86"/>
      <c r="V8" s="86"/>
      <c r="W8" s="86"/>
      <c r="X8" s="86"/>
      <c r="Y8" s="86"/>
      <c r="Z8" s="86"/>
      <c r="AA8" s="86"/>
      <c r="AB8" s="86"/>
      <c r="AC8" s="86"/>
      <c r="AD8" s="86"/>
      <c r="AE8" s="86"/>
      <c r="AF8" s="87" t="str">
        <f t="shared" si="0"/>
        <v/>
      </c>
    </row>
    <row r="9" spans="1:32">
      <c r="A9" s="82">
        <v>6175</v>
      </c>
      <c r="B9" s="82" t="s">
        <v>293</v>
      </c>
      <c r="C9" s="83">
        <v>41853</v>
      </c>
      <c r="D9" s="83">
        <v>41859</v>
      </c>
      <c r="E9" s="82" t="s">
        <v>128</v>
      </c>
      <c r="F9" s="82" t="s">
        <v>294</v>
      </c>
      <c r="G9" s="82" t="s">
        <v>272</v>
      </c>
      <c r="H9" s="82" t="s">
        <v>132</v>
      </c>
      <c r="I9" s="82" t="s">
        <v>295</v>
      </c>
      <c r="J9" s="82" t="s">
        <v>296</v>
      </c>
      <c r="K9" s="82">
        <v>65807</v>
      </c>
      <c r="L9" s="82" t="s">
        <v>297</v>
      </c>
      <c r="M9" s="82" t="s">
        <v>148</v>
      </c>
      <c r="N9" s="82" t="s">
        <v>298</v>
      </c>
      <c r="O9" s="82">
        <v>838.38</v>
      </c>
      <c r="P9" s="82">
        <v>2</v>
      </c>
      <c r="Q9" s="84">
        <v>0</v>
      </c>
      <c r="R9" s="82">
        <v>226.36260000000004</v>
      </c>
      <c r="S9" s="82" t="s">
        <v>299</v>
      </c>
      <c r="T9" s="85"/>
      <c r="U9" s="86"/>
      <c r="V9" s="86"/>
      <c r="W9" s="86"/>
      <c r="X9" s="86"/>
      <c r="Y9" s="86"/>
      <c r="Z9" s="86"/>
      <c r="AA9" s="86"/>
      <c r="AB9" s="86"/>
      <c r="AC9" s="86"/>
      <c r="AD9" s="86"/>
      <c r="AE9" s="86"/>
      <c r="AF9" s="87" t="str">
        <f t="shared" si="0"/>
        <v/>
      </c>
    </row>
    <row r="10" spans="1:32">
      <c r="A10" s="82">
        <v>6063</v>
      </c>
      <c r="B10" s="82" t="s">
        <v>300</v>
      </c>
      <c r="C10" s="83">
        <v>42363</v>
      </c>
      <c r="D10" s="83">
        <v>42368</v>
      </c>
      <c r="E10" s="82" t="s">
        <v>143</v>
      </c>
      <c r="F10" s="82" t="s">
        <v>301</v>
      </c>
      <c r="G10" s="82" t="s">
        <v>131</v>
      </c>
      <c r="H10" s="82" t="s">
        <v>132</v>
      </c>
      <c r="I10" s="82" t="s">
        <v>302</v>
      </c>
      <c r="J10" s="82" t="s">
        <v>134</v>
      </c>
      <c r="K10" s="82">
        <v>92037</v>
      </c>
      <c r="L10" s="82" t="s">
        <v>303</v>
      </c>
      <c r="M10" s="82" t="s">
        <v>163</v>
      </c>
      <c r="N10" s="82" t="s">
        <v>304</v>
      </c>
      <c r="O10" s="82">
        <v>1199.96</v>
      </c>
      <c r="P10" s="82">
        <v>5</v>
      </c>
      <c r="Q10" s="84">
        <v>0.2</v>
      </c>
      <c r="R10" s="82">
        <v>224.99249999999995</v>
      </c>
      <c r="S10" s="82" t="s">
        <v>305</v>
      </c>
      <c r="T10" s="85"/>
      <c r="U10" s="86"/>
      <c r="V10" s="86"/>
      <c r="W10" s="86"/>
      <c r="X10" s="86"/>
      <c r="Y10" s="86"/>
      <c r="Z10" s="86"/>
      <c r="AA10" s="86"/>
      <c r="AB10" s="86"/>
      <c r="AC10" s="86"/>
      <c r="AD10" s="86"/>
      <c r="AE10" s="86"/>
      <c r="AF10" s="87" t="str">
        <f t="shared" si="0"/>
        <v/>
      </c>
    </row>
    <row r="11" spans="1:32">
      <c r="A11" s="82">
        <v>6191</v>
      </c>
      <c r="B11" s="82" t="s">
        <v>306</v>
      </c>
      <c r="C11" s="83">
        <v>42728</v>
      </c>
      <c r="D11" s="83">
        <v>42732</v>
      </c>
      <c r="E11" s="82" t="s">
        <v>128</v>
      </c>
      <c r="F11" s="82" t="s">
        <v>307</v>
      </c>
      <c r="G11" s="82" t="s">
        <v>131</v>
      </c>
      <c r="H11" s="82" t="s">
        <v>132</v>
      </c>
      <c r="I11" s="82" t="s">
        <v>265</v>
      </c>
      <c r="J11" s="82" t="s">
        <v>266</v>
      </c>
      <c r="K11" s="82">
        <v>10035</v>
      </c>
      <c r="L11" s="82" t="s">
        <v>308</v>
      </c>
      <c r="M11" s="82" t="s">
        <v>135</v>
      </c>
      <c r="N11" s="82" t="s">
        <v>309</v>
      </c>
      <c r="O11" s="82">
        <v>799.56000000000006</v>
      </c>
      <c r="P11" s="82">
        <v>9</v>
      </c>
      <c r="Q11" s="84">
        <v>0</v>
      </c>
      <c r="R11" s="82">
        <v>207.88559999999998</v>
      </c>
      <c r="S11" s="82" t="s">
        <v>310</v>
      </c>
      <c r="T11" s="85"/>
      <c r="U11" s="86"/>
      <c r="V11" s="86"/>
      <c r="W11" s="86"/>
      <c r="X11" s="86"/>
      <c r="Y11" s="86"/>
      <c r="Z11" s="86"/>
      <c r="AA11" s="86"/>
      <c r="AB11" s="86"/>
      <c r="AC11" s="86"/>
      <c r="AD11" s="86"/>
      <c r="AE11" s="86"/>
      <c r="AF11" s="87" t="str">
        <f t="shared" si="0"/>
        <v/>
      </c>
    </row>
    <row r="12" spans="1:32">
      <c r="A12" s="82">
        <v>6077</v>
      </c>
      <c r="B12" s="82" t="s">
        <v>311</v>
      </c>
      <c r="C12" s="83">
        <v>42614</v>
      </c>
      <c r="D12" s="83">
        <v>42620</v>
      </c>
      <c r="E12" s="82" t="s">
        <v>128</v>
      </c>
      <c r="F12" s="82" t="s">
        <v>312</v>
      </c>
      <c r="G12" s="82" t="s">
        <v>131</v>
      </c>
      <c r="H12" s="82" t="s">
        <v>132</v>
      </c>
      <c r="I12" s="82" t="s">
        <v>265</v>
      </c>
      <c r="J12" s="82" t="s">
        <v>266</v>
      </c>
      <c r="K12" s="82">
        <v>10011</v>
      </c>
      <c r="L12" s="82" t="s">
        <v>313</v>
      </c>
      <c r="M12" s="82" t="s">
        <v>163</v>
      </c>
      <c r="N12" s="82" t="s">
        <v>314</v>
      </c>
      <c r="O12" s="82">
        <v>468.90000000000003</v>
      </c>
      <c r="P12" s="82">
        <v>6</v>
      </c>
      <c r="Q12" s="84">
        <v>0</v>
      </c>
      <c r="R12" s="82">
        <v>206.31600000000006</v>
      </c>
      <c r="S12" s="82" t="s">
        <v>315</v>
      </c>
      <c r="T12" s="85"/>
      <c r="U12" s="86"/>
      <c r="V12" s="86"/>
      <c r="W12" s="86"/>
      <c r="X12" s="86"/>
      <c r="Y12" s="86"/>
      <c r="Z12" s="86"/>
      <c r="AA12" s="86"/>
      <c r="AB12" s="86"/>
      <c r="AC12" s="86"/>
      <c r="AD12" s="86"/>
      <c r="AE12" s="86"/>
      <c r="AF12" s="87" t="str">
        <f t="shared" si="0"/>
        <v/>
      </c>
    </row>
    <row r="13" spans="1:32">
      <c r="A13" s="82">
        <v>6042</v>
      </c>
      <c r="B13" s="82" t="s">
        <v>316</v>
      </c>
      <c r="C13" s="83">
        <v>43002</v>
      </c>
      <c r="D13" s="83">
        <v>43007</v>
      </c>
      <c r="E13" s="82" t="s">
        <v>128</v>
      </c>
      <c r="F13" s="82" t="s">
        <v>317</v>
      </c>
      <c r="G13" s="82" t="s">
        <v>152</v>
      </c>
      <c r="H13" s="82" t="s">
        <v>132</v>
      </c>
      <c r="I13" s="82" t="s">
        <v>285</v>
      </c>
      <c r="J13" s="82" t="s">
        <v>134</v>
      </c>
      <c r="K13" s="82">
        <v>90008</v>
      </c>
      <c r="L13" s="82" t="s">
        <v>318</v>
      </c>
      <c r="M13" s="82" t="s">
        <v>163</v>
      </c>
      <c r="N13" s="82" t="s">
        <v>291</v>
      </c>
      <c r="O13" s="82">
        <v>506.28</v>
      </c>
      <c r="P13" s="82">
        <v>3</v>
      </c>
      <c r="Q13" s="84">
        <v>0.2</v>
      </c>
      <c r="R13" s="82">
        <v>177.19799999999998</v>
      </c>
      <c r="S13" s="82" t="s">
        <v>319</v>
      </c>
      <c r="T13" s="85"/>
      <c r="U13" s="86"/>
      <c r="V13" s="86"/>
      <c r="W13" s="86"/>
      <c r="X13" s="86"/>
      <c r="Y13" s="86"/>
      <c r="Z13" s="86"/>
      <c r="AA13" s="86"/>
      <c r="AB13" s="86"/>
      <c r="AC13" s="86"/>
      <c r="AD13" s="86"/>
      <c r="AE13" s="86"/>
      <c r="AF13" s="87" t="str">
        <f t="shared" si="0"/>
        <v/>
      </c>
    </row>
    <row r="14" spans="1:32">
      <c r="A14" s="82">
        <v>6181</v>
      </c>
      <c r="B14" s="82" t="s">
        <v>276</v>
      </c>
      <c r="C14" s="83">
        <v>42268</v>
      </c>
      <c r="D14" s="83">
        <v>42273</v>
      </c>
      <c r="E14" s="82" t="s">
        <v>128</v>
      </c>
      <c r="F14" s="82" t="s">
        <v>277</v>
      </c>
      <c r="G14" s="82" t="s">
        <v>131</v>
      </c>
      <c r="H14" s="82" t="s">
        <v>132</v>
      </c>
      <c r="I14" s="82" t="s">
        <v>278</v>
      </c>
      <c r="J14" s="82" t="s">
        <v>279</v>
      </c>
      <c r="K14" s="82">
        <v>29203</v>
      </c>
      <c r="L14" s="82" t="s">
        <v>320</v>
      </c>
      <c r="M14" s="82" t="s">
        <v>163</v>
      </c>
      <c r="N14" s="82" t="s">
        <v>274</v>
      </c>
      <c r="O14" s="82">
        <v>629.94999999999993</v>
      </c>
      <c r="P14" s="82">
        <v>5</v>
      </c>
      <c r="Q14" s="84">
        <v>0</v>
      </c>
      <c r="R14" s="82">
        <v>176.38600000000002</v>
      </c>
      <c r="S14" s="82" t="s">
        <v>281</v>
      </c>
      <c r="T14" s="85"/>
      <c r="U14" s="86"/>
      <c r="V14" s="86"/>
      <c r="W14" s="86"/>
      <c r="X14" s="86"/>
      <c r="Y14" s="86"/>
      <c r="Z14" s="86"/>
      <c r="AA14" s="86"/>
      <c r="AB14" s="86"/>
      <c r="AC14" s="86"/>
      <c r="AD14" s="86"/>
      <c r="AE14" s="86"/>
      <c r="AF14" s="87" t="str">
        <f t="shared" si="0"/>
        <v/>
      </c>
    </row>
    <row r="15" spans="1:32">
      <c r="A15" s="82">
        <v>6047</v>
      </c>
      <c r="B15" s="82" t="s">
        <v>321</v>
      </c>
      <c r="C15" s="83">
        <v>42530</v>
      </c>
      <c r="D15" s="83">
        <v>42537</v>
      </c>
      <c r="E15" s="82" t="s">
        <v>128</v>
      </c>
      <c r="F15" s="82" t="s">
        <v>322</v>
      </c>
      <c r="G15" s="82" t="s">
        <v>272</v>
      </c>
      <c r="H15" s="82" t="s">
        <v>132</v>
      </c>
      <c r="I15" s="82" t="s">
        <v>323</v>
      </c>
      <c r="J15" s="82" t="s">
        <v>324</v>
      </c>
      <c r="K15" s="82">
        <v>55407</v>
      </c>
      <c r="L15" s="82" t="s">
        <v>325</v>
      </c>
      <c r="M15" s="82" t="s">
        <v>135</v>
      </c>
      <c r="N15" s="82" t="s">
        <v>326</v>
      </c>
      <c r="O15" s="82">
        <v>692.93999999999994</v>
      </c>
      <c r="P15" s="82">
        <v>3</v>
      </c>
      <c r="Q15" s="84">
        <v>0</v>
      </c>
      <c r="R15" s="82">
        <v>173.23500000000001</v>
      </c>
      <c r="S15" s="82" t="s">
        <v>327</v>
      </c>
      <c r="T15" s="85"/>
      <c r="U15" s="86"/>
      <c r="V15" s="86"/>
      <c r="W15" s="86"/>
      <c r="X15" s="86"/>
      <c r="Y15" s="86"/>
      <c r="Z15" s="86"/>
      <c r="AA15" s="86"/>
      <c r="AB15" s="86"/>
      <c r="AC15" s="86"/>
      <c r="AD15" s="86"/>
      <c r="AE15" s="86"/>
      <c r="AF15" s="87" t="str">
        <f t="shared" si="0"/>
        <v/>
      </c>
    </row>
    <row r="16" spans="1:32">
      <c r="A16" s="82">
        <v>6132</v>
      </c>
      <c r="B16" s="82" t="s">
        <v>328</v>
      </c>
      <c r="C16" s="83">
        <v>42000</v>
      </c>
      <c r="D16" s="83">
        <v>42004</v>
      </c>
      <c r="E16" s="82" t="s">
        <v>128</v>
      </c>
      <c r="F16" s="82" t="s">
        <v>329</v>
      </c>
      <c r="G16" s="82" t="s">
        <v>272</v>
      </c>
      <c r="H16" s="82" t="s">
        <v>132</v>
      </c>
      <c r="I16" s="82" t="s">
        <v>265</v>
      </c>
      <c r="J16" s="82" t="s">
        <v>266</v>
      </c>
      <c r="K16" s="82">
        <v>10011</v>
      </c>
      <c r="L16" s="82" t="s">
        <v>330</v>
      </c>
      <c r="M16" s="82" t="s">
        <v>135</v>
      </c>
      <c r="N16" s="82" t="s">
        <v>268</v>
      </c>
      <c r="O16" s="82">
        <v>767.21400000000006</v>
      </c>
      <c r="P16" s="82">
        <v>14</v>
      </c>
      <c r="Q16" s="84">
        <v>0.1</v>
      </c>
      <c r="R16" s="82">
        <v>161.96739999999997</v>
      </c>
      <c r="S16" s="82" t="s">
        <v>331</v>
      </c>
      <c r="T16" s="85"/>
      <c r="U16" s="86"/>
      <c r="V16" s="86"/>
      <c r="W16" s="86"/>
      <c r="X16" s="86"/>
      <c r="Y16" s="86"/>
      <c r="Z16" s="86"/>
      <c r="AA16" s="86"/>
      <c r="AB16" s="86"/>
      <c r="AC16" s="86"/>
      <c r="AD16" s="86"/>
      <c r="AE16" s="86"/>
      <c r="AF16" s="87" t="str">
        <f t="shared" si="0"/>
        <v/>
      </c>
    </row>
    <row r="17" spans="1:32">
      <c r="A17" s="82">
        <v>6141</v>
      </c>
      <c r="B17" s="82" t="s">
        <v>332</v>
      </c>
      <c r="C17" s="83">
        <v>42925</v>
      </c>
      <c r="D17" s="83">
        <v>42931</v>
      </c>
      <c r="E17" s="82" t="s">
        <v>128</v>
      </c>
      <c r="F17" s="82" t="s">
        <v>333</v>
      </c>
      <c r="G17" s="82" t="s">
        <v>131</v>
      </c>
      <c r="H17" s="82" t="s">
        <v>132</v>
      </c>
      <c r="I17" s="82" t="s">
        <v>334</v>
      </c>
      <c r="J17" s="82" t="s">
        <v>335</v>
      </c>
      <c r="K17" s="82">
        <v>6040</v>
      </c>
      <c r="L17" s="82" t="s">
        <v>336</v>
      </c>
      <c r="M17" s="82" t="s">
        <v>148</v>
      </c>
      <c r="N17" s="82" t="s">
        <v>337</v>
      </c>
      <c r="O17" s="82">
        <v>274.8</v>
      </c>
      <c r="P17" s="82">
        <v>5</v>
      </c>
      <c r="Q17" s="84">
        <v>0</v>
      </c>
      <c r="R17" s="82">
        <v>134.65199999999999</v>
      </c>
      <c r="S17" s="82" t="s">
        <v>338</v>
      </c>
      <c r="T17" s="85"/>
      <c r="U17" s="86"/>
      <c r="V17" s="86"/>
      <c r="W17" s="86"/>
      <c r="X17" s="86"/>
      <c r="Y17" s="86"/>
      <c r="Z17" s="86"/>
      <c r="AA17" s="86"/>
      <c r="AB17" s="86"/>
      <c r="AC17" s="86"/>
      <c r="AD17" s="86"/>
      <c r="AE17" s="86"/>
      <c r="AF17" s="87" t="str">
        <f t="shared" si="0"/>
        <v/>
      </c>
    </row>
    <row r="18" spans="1:32">
      <c r="A18" s="82">
        <v>6012</v>
      </c>
      <c r="B18" s="82" t="s">
        <v>288</v>
      </c>
      <c r="C18" s="83">
        <v>42368</v>
      </c>
      <c r="D18" s="83">
        <v>42372</v>
      </c>
      <c r="E18" s="82" t="s">
        <v>128</v>
      </c>
      <c r="F18" s="82" t="s">
        <v>289</v>
      </c>
      <c r="G18" s="82" t="s">
        <v>131</v>
      </c>
      <c r="H18" s="82" t="s">
        <v>132</v>
      </c>
      <c r="I18" s="82" t="s">
        <v>285</v>
      </c>
      <c r="J18" s="82" t="s">
        <v>134</v>
      </c>
      <c r="K18" s="82">
        <v>90049</v>
      </c>
      <c r="L18" s="82" t="s">
        <v>339</v>
      </c>
      <c r="M18" s="82" t="s">
        <v>148</v>
      </c>
      <c r="N18" s="82" t="s">
        <v>340</v>
      </c>
      <c r="O18" s="82">
        <v>271.44</v>
      </c>
      <c r="P18" s="82">
        <v>3</v>
      </c>
      <c r="Q18" s="84">
        <v>0</v>
      </c>
      <c r="R18" s="82">
        <v>122.148</v>
      </c>
      <c r="S18" s="82" t="s">
        <v>292</v>
      </c>
      <c r="T18" s="85"/>
      <c r="U18" s="86"/>
      <c r="V18" s="86"/>
      <c r="W18" s="86"/>
      <c r="X18" s="86"/>
      <c r="Y18" s="86"/>
      <c r="Z18" s="86"/>
      <c r="AA18" s="86"/>
      <c r="AB18" s="86"/>
      <c r="AC18" s="86"/>
      <c r="AD18" s="86"/>
      <c r="AE18" s="86"/>
      <c r="AF18" s="87" t="str">
        <f t="shared" si="0"/>
        <v/>
      </c>
    </row>
    <row r="19" spans="1:32">
      <c r="A19" s="82">
        <v>6160</v>
      </c>
      <c r="B19" s="82" t="s">
        <v>341</v>
      </c>
      <c r="C19" s="83">
        <v>42707</v>
      </c>
      <c r="D19" s="83">
        <v>42713</v>
      </c>
      <c r="E19" s="82" t="s">
        <v>128</v>
      </c>
      <c r="F19" s="82" t="s">
        <v>342</v>
      </c>
      <c r="G19" s="82" t="s">
        <v>131</v>
      </c>
      <c r="H19" s="82" t="s">
        <v>132</v>
      </c>
      <c r="I19" s="82" t="s">
        <v>285</v>
      </c>
      <c r="J19" s="82" t="s">
        <v>134</v>
      </c>
      <c r="K19" s="82">
        <v>90049</v>
      </c>
      <c r="L19" s="82" t="s">
        <v>343</v>
      </c>
      <c r="M19" s="82" t="s">
        <v>148</v>
      </c>
      <c r="N19" s="82" t="s">
        <v>298</v>
      </c>
      <c r="O19" s="82">
        <v>772.68</v>
      </c>
      <c r="P19" s="82">
        <v>4</v>
      </c>
      <c r="Q19" s="84">
        <v>0</v>
      </c>
      <c r="R19" s="82">
        <v>108.17520000000002</v>
      </c>
      <c r="S19" s="82" t="s">
        <v>344</v>
      </c>
      <c r="T19" s="85"/>
      <c r="U19" s="86"/>
      <c r="V19" s="86"/>
      <c r="W19" s="86"/>
      <c r="X19" s="86"/>
      <c r="Y19" s="86"/>
      <c r="Z19" s="86"/>
      <c r="AA19" s="86"/>
      <c r="AB19" s="86"/>
      <c r="AC19" s="86"/>
      <c r="AD19" s="86"/>
      <c r="AE19" s="86"/>
      <c r="AF19" s="87" t="str">
        <f t="shared" si="0"/>
        <v/>
      </c>
    </row>
    <row r="20" spans="1:32">
      <c r="A20" s="82">
        <v>6092</v>
      </c>
      <c r="B20" s="82" t="s">
        <v>263</v>
      </c>
      <c r="C20" s="83">
        <v>42998</v>
      </c>
      <c r="D20" s="83">
        <v>43004</v>
      </c>
      <c r="E20" s="82" t="s">
        <v>128</v>
      </c>
      <c r="F20" s="82" t="s">
        <v>264</v>
      </c>
      <c r="G20" s="82" t="s">
        <v>131</v>
      </c>
      <c r="H20" s="82" t="s">
        <v>132</v>
      </c>
      <c r="I20" s="82" t="s">
        <v>265</v>
      </c>
      <c r="J20" s="82" t="s">
        <v>266</v>
      </c>
      <c r="K20" s="82">
        <v>10035</v>
      </c>
      <c r="L20" s="82" t="s">
        <v>345</v>
      </c>
      <c r="M20" s="82" t="s">
        <v>163</v>
      </c>
      <c r="N20" s="82" t="s">
        <v>314</v>
      </c>
      <c r="O20" s="82">
        <v>212.8</v>
      </c>
      <c r="P20" s="82">
        <v>2</v>
      </c>
      <c r="Q20" s="84">
        <v>0</v>
      </c>
      <c r="R20" s="82">
        <v>95.759999999999991</v>
      </c>
      <c r="S20" s="82" t="s">
        <v>269</v>
      </c>
      <c r="T20" s="85"/>
      <c r="U20" s="86"/>
      <c r="V20" s="86"/>
      <c r="W20" s="86"/>
      <c r="X20" s="86"/>
      <c r="Y20" s="86"/>
      <c r="Z20" s="86"/>
      <c r="AA20" s="86"/>
      <c r="AB20" s="86"/>
      <c r="AC20" s="86"/>
      <c r="AD20" s="86"/>
      <c r="AE20" s="86"/>
      <c r="AF20" s="87" t="str">
        <f t="shared" si="0"/>
        <v/>
      </c>
    </row>
    <row r="21" spans="1:32">
      <c r="A21" s="82">
        <v>6046</v>
      </c>
      <c r="B21" s="82" t="s">
        <v>346</v>
      </c>
      <c r="C21" s="83">
        <v>42250</v>
      </c>
      <c r="D21" s="83">
        <v>42255</v>
      </c>
      <c r="E21" s="82" t="s">
        <v>128</v>
      </c>
      <c r="F21" s="82" t="s">
        <v>347</v>
      </c>
      <c r="G21" s="82" t="s">
        <v>152</v>
      </c>
      <c r="H21" s="82" t="s">
        <v>132</v>
      </c>
      <c r="I21" s="82" t="s">
        <v>348</v>
      </c>
      <c r="J21" s="82" t="s">
        <v>349</v>
      </c>
      <c r="K21" s="82">
        <v>85705</v>
      </c>
      <c r="L21" s="82" t="s">
        <v>350</v>
      </c>
      <c r="M21" s="82" t="s">
        <v>135</v>
      </c>
      <c r="N21" s="82" t="s">
        <v>309</v>
      </c>
      <c r="O21" s="82">
        <v>238.15200000000004</v>
      </c>
      <c r="P21" s="82">
        <v>3</v>
      </c>
      <c r="Q21" s="84">
        <v>0.2</v>
      </c>
      <c r="R21" s="82">
        <v>89.306999999999988</v>
      </c>
      <c r="S21" s="82" t="s">
        <v>351</v>
      </c>
      <c r="T21" s="85"/>
      <c r="U21" s="86"/>
      <c r="V21" s="86"/>
      <c r="W21" s="86"/>
      <c r="X21" s="86"/>
      <c r="Y21" s="86"/>
      <c r="Z21" s="86"/>
      <c r="AA21" s="86"/>
      <c r="AB21" s="86"/>
      <c r="AC21" s="86"/>
      <c r="AD21" s="86"/>
      <c r="AE21" s="86"/>
      <c r="AF21" s="87" t="str">
        <f t="shared" si="0"/>
        <v/>
      </c>
    </row>
    <row r="22" spans="1:32">
      <c r="A22" s="82">
        <v>6151</v>
      </c>
      <c r="B22" s="82" t="s">
        <v>352</v>
      </c>
      <c r="C22" s="83">
        <v>42468</v>
      </c>
      <c r="D22" s="83">
        <v>42471</v>
      </c>
      <c r="E22" s="82" t="s">
        <v>137</v>
      </c>
      <c r="F22" s="82" t="s">
        <v>353</v>
      </c>
      <c r="G22" s="82" t="s">
        <v>131</v>
      </c>
      <c r="H22" s="82" t="s">
        <v>132</v>
      </c>
      <c r="I22" s="82" t="s">
        <v>146</v>
      </c>
      <c r="J22" s="82" t="s">
        <v>354</v>
      </c>
      <c r="K22" s="82">
        <v>31907</v>
      </c>
      <c r="L22" s="82" t="s">
        <v>355</v>
      </c>
      <c r="M22" s="82" t="s">
        <v>135</v>
      </c>
      <c r="N22" s="82" t="s">
        <v>356</v>
      </c>
      <c r="O22" s="82">
        <v>354.90000000000003</v>
      </c>
      <c r="P22" s="82">
        <v>5</v>
      </c>
      <c r="Q22" s="84">
        <v>0</v>
      </c>
      <c r="R22" s="82">
        <v>88.725000000000023</v>
      </c>
      <c r="S22" s="82" t="s">
        <v>357</v>
      </c>
      <c r="T22" s="85"/>
      <c r="U22" s="86"/>
      <c r="V22" s="86"/>
      <c r="W22" s="86"/>
      <c r="X22" s="86"/>
      <c r="Y22" s="86"/>
      <c r="Z22" s="86"/>
      <c r="AA22" s="86"/>
      <c r="AB22" s="86"/>
      <c r="AC22" s="86"/>
      <c r="AD22" s="86"/>
      <c r="AE22" s="86"/>
      <c r="AF22" s="87" t="str">
        <f t="shared" si="0"/>
        <v/>
      </c>
    </row>
    <row r="23" spans="1:32">
      <c r="A23" s="82">
        <v>6052</v>
      </c>
      <c r="B23" s="82" t="s">
        <v>358</v>
      </c>
      <c r="C23" s="83">
        <v>42119</v>
      </c>
      <c r="D23" s="83">
        <v>42124</v>
      </c>
      <c r="E23" s="82" t="s">
        <v>128</v>
      </c>
      <c r="F23" s="82" t="s">
        <v>359</v>
      </c>
      <c r="G23" s="82" t="s">
        <v>131</v>
      </c>
      <c r="H23" s="82" t="s">
        <v>132</v>
      </c>
      <c r="I23" s="82" t="s">
        <v>360</v>
      </c>
      <c r="J23" s="82" t="s">
        <v>361</v>
      </c>
      <c r="K23" s="82">
        <v>53209</v>
      </c>
      <c r="L23" s="82" t="s">
        <v>362</v>
      </c>
      <c r="M23" s="82" t="s">
        <v>148</v>
      </c>
      <c r="N23" s="82" t="s">
        <v>363</v>
      </c>
      <c r="O23" s="82">
        <v>272.39999999999998</v>
      </c>
      <c r="P23" s="82">
        <v>5</v>
      </c>
      <c r="Q23" s="84">
        <v>0</v>
      </c>
      <c r="R23" s="82">
        <v>76.27200000000002</v>
      </c>
      <c r="S23" s="82" t="s">
        <v>364</v>
      </c>
      <c r="T23" s="85"/>
      <c r="U23" s="86"/>
      <c r="V23" s="86"/>
      <c r="W23" s="86"/>
      <c r="X23" s="86"/>
      <c r="Y23" s="86"/>
      <c r="Z23" s="86"/>
      <c r="AA23" s="86"/>
      <c r="AB23" s="86"/>
      <c r="AC23" s="86"/>
      <c r="AD23" s="86"/>
      <c r="AE23" s="86"/>
      <c r="AF23" s="87" t="str">
        <f t="shared" si="0"/>
        <v/>
      </c>
    </row>
    <row r="24" spans="1:32">
      <c r="A24" s="82">
        <v>6041</v>
      </c>
      <c r="B24" s="82" t="s">
        <v>316</v>
      </c>
      <c r="C24" s="83">
        <v>43002</v>
      </c>
      <c r="D24" s="83">
        <v>43007</v>
      </c>
      <c r="E24" s="82" t="s">
        <v>128</v>
      </c>
      <c r="F24" s="82" t="s">
        <v>317</v>
      </c>
      <c r="G24" s="82" t="s">
        <v>152</v>
      </c>
      <c r="H24" s="82" t="s">
        <v>132</v>
      </c>
      <c r="I24" s="82" t="s">
        <v>285</v>
      </c>
      <c r="J24" s="82" t="s">
        <v>134</v>
      </c>
      <c r="K24" s="82">
        <v>90008</v>
      </c>
      <c r="L24" s="82" t="s">
        <v>365</v>
      </c>
      <c r="M24" s="82" t="s">
        <v>163</v>
      </c>
      <c r="N24" s="82" t="s">
        <v>274</v>
      </c>
      <c r="O24" s="82">
        <v>859.2</v>
      </c>
      <c r="P24" s="82">
        <v>3</v>
      </c>
      <c r="Q24" s="84">
        <v>0.2</v>
      </c>
      <c r="R24" s="82">
        <v>75.180000000000064</v>
      </c>
      <c r="S24" s="82" t="s">
        <v>319</v>
      </c>
      <c r="T24" s="85"/>
      <c r="U24" s="86"/>
      <c r="V24" s="86"/>
      <c r="W24" s="86"/>
      <c r="X24" s="86"/>
      <c r="Y24" s="86"/>
      <c r="Z24" s="86"/>
      <c r="AA24" s="86"/>
      <c r="AB24" s="86"/>
      <c r="AC24" s="86"/>
      <c r="AD24" s="86"/>
      <c r="AE24" s="86"/>
      <c r="AF24" s="87" t="str">
        <f t="shared" si="0"/>
        <v/>
      </c>
    </row>
    <row r="25" spans="1:32">
      <c r="A25" s="82">
        <v>6143</v>
      </c>
      <c r="B25" s="82" t="s">
        <v>332</v>
      </c>
      <c r="C25" s="83">
        <v>42925</v>
      </c>
      <c r="D25" s="83">
        <v>42931</v>
      </c>
      <c r="E25" s="82" t="s">
        <v>128</v>
      </c>
      <c r="F25" s="82" t="s">
        <v>333</v>
      </c>
      <c r="G25" s="82" t="s">
        <v>131</v>
      </c>
      <c r="H25" s="82" t="s">
        <v>132</v>
      </c>
      <c r="I25" s="82" t="s">
        <v>334</v>
      </c>
      <c r="J25" s="82" t="s">
        <v>335</v>
      </c>
      <c r="K25" s="82">
        <v>6040</v>
      </c>
      <c r="L25" s="82" t="s">
        <v>366</v>
      </c>
      <c r="M25" s="82" t="s">
        <v>163</v>
      </c>
      <c r="N25" s="82" t="s">
        <v>274</v>
      </c>
      <c r="O25" s="82">
        <v>257.98</v>
      </c>
      <c r="P25" s="82">
        <v>2</v>
      </c>
      <c r="Q25" s="84">
        <v>0</v>
      </c>
      <c r="R25" s="82">
        <v>74.8142</v>
      </c>
      <c r="S25" s="82" t="s">
        <v>338</v>
      </c>
      <c r="T25" s="85"/>
      <c r="U25" s="86"/>
      <c r="V25" s="86"/>
      <c r="W25" s="86"/>
      <c r="X25" s="86"/>
      <c r="Y25" s="86"/>
      <c r="Z25" s="86"/>
      <c r="AA25" s="86"/>
      <c r="AB25" s="86"/>
      <c r="AC25" s="86"/>
      <c r="AD25" s="86"/>
      <c r="AE25" s="86"/>
      <c r="AF25" s="87" t="str">
        <f t="shared" si="0"/>
        <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outlinePr summaryBelow="0" summaryRight="0"/>
  </sheetPr>
  <dimension ref="A1:O121"/>
  <sheetViews>
    <sheetView topLeftCell="A36" workbookViewId="0">
      <selection activeCell="B59" sqref="B59"/>
    </sheetView>
  </sheetViews>
  <sheetFormatPr defaultColWidth="12.7109375" defaultRowHeight="15.75" customHeight="1"/>
  <sheetData>
    <row r="1" spans="1:15" ht="14.25">
      <c r="A1" s="1" t="s">
        <v>0</v>
      </c>
      <c r="B1" s="2"/>
      <c r="C1" s="2"/>
      <c r="D1" s="2"/>
      <c r="E1" s="2"/>
      <c r="F1" s="2"/>
      <c r="G1" s="2"/>
      <c r="H1" s="2"/>
      <c r="I1" s="2"/>
      <c r="J1" s="2"/>
      <c r="K1" s="2"/>
      <c r="L1" s="2"/>
      <c r="M1" s="2"/>
      <c r="N1" s="2"/>
      <c r="O1" s="2"/>
    </row>
    <row r="2" spans="1:15" ht="14.25">
      <c r="A2" s="94" t="s">
        <v>1</v>
      </c>
      <c r="B2" s="95"/>
      <c r="C2" s="95"/>
      <c r="D2" s="95"/>
      <c r="E2" s="95"/>
      <c r="F2" s="95"/>
      <c r="G2" s="2"/>
      <c r="H2" s="2"/>
      <c r="I2" s="2"/>
      <c r="J2" s="2"/>
      <c r="K2" s="2"/>
      <c r="L2" s="2"/>
      <c r="M2" s="2"/>
      <c r="N2" s="2"/>
      <c r="O2" s="2"/>
    </row>
    <row r="3" spans="1:15" ht="14.25">
      <c r="A3" s="94" t="s">
        <v>2</v>
      </c>
      <c r="B3" s="95"/>
      <c r="C3" s="95"/>
      <c r="D3" s="95"/>
      <c r="E3" s="95"/>
      <c r="F3" s="95"/>
      <c r="G3" s="95"/>
      <c r="H3" s="2"/>
      <c r="I3" s="2"/>
      <c r="J3" s="2"/>
      <c r="K3" s="2"/>
      <c r="L3" s="2"/>
      <c r="M3" s="2"/>
      <c r="N3" s="2"/>
      <c r="O3" s="2"/>
    </row>
    <row r="4" spans="1:15" ht="14.25">
      <c r="A4" s="94" t="s">
        <v>3</v>
      </c>
      <c r="B4" s="95"/>
      <c r="C4" s="95"/>
      <c r="D4" s="95"/>
      <c r="E4" s="95"/>
      <c r="F4" s="95"/>
      <c r="G4" s="95"/>
      <c r="H4" s="95"/>
      <c r="I4" s="95"/>
      <c r="J4" s="95"/>
      <c r="K4" s="2"/>
      <c r="L4" s="2"/>
      <c r="M4" s="2"/>
      <c r="N4" s="2"/>
      <c r="O4" s="2"/>
    </row>
    <row r="5" spans="1:15" ht="14.25">
      <c r="A5" s="3" t="s">
        <v>4</v>
      </c>
      <c r="B5" s="2"/>
      <c r="C5" s="2"/>
      <c r="D5" s="2"/>
      <c r="E5" s="2"/>
      <c r="F5" s="2"/>
      <c r="G5" s="2"/>
      <c r="H5" s="2"/>
      <c r="I5" s="2"/>
      <c r="J5" s="2"/>
      <c r="K5" s="2"/>
      <c r="L5" s="2"/>
      <c r="M5" s="2"/>
      <c r="N5" s="2"/>
      <c r="O5" s="2"/>
    </row>
    <row r="6" spans="1:15" ht="14.25">
      <c r="A6" s="4">
        <v>43183</v>
      </c>
      <c r="B6" s="94" t="s">
        <v>5</v>
      </c>
      <c r="C6" s="95"/>
      <c r="D6" s="95"/>
      <c r="E6" s="2"/>
      <c r="F6" s="2"/>
      <c r="G6" s="2"/>
      <c r="H6" s="2"/>
      <c r="I6" s="2"/>
      <c r="J6" s="2"/>
      <c r="K6" s="2"/>
      <c r="L6" s="2"/>
      <c r="M6" s="2"/>
      <c r="N6" s="2"/>
      <c r="O6" s="2"/>
    </row>
    <row r="7" spans="1:15" ht="14.25">
      <c r="A7" s="94" t="s">
        <v>6</v>
      </c>
      <c r="B7" s="95"/>
      <c r="C7" s="95"/>
      <c r="D7" s="95"/>
      <c r="E7" s="95"/>
      <c r="F7" s="95"/>
      <c r="G7" s="95"/>
      <c r="H7" s="2"/>
      <c r="I7" s="2"/>
      <c r="J7" s="2"/>
      <c r="K7" s="2"/>
      <c r="L7" s="2"/>
      <c r="M7" s="2"/>
      <c r="N7" s="2"/>
      <c r="O7" s="2"/>
    </row>
    <row r="8" spans="1:15" ht="14.25">
      <c r="A8" s="2"/>
      <c r="B8" s="2"/>
      <c r="C8" s="2"/>
      <c r="D8" s="2"/>
      <c r="E8" s="2"/>
      <c r="F8" s="2"/>
      <c r="G8" s="2"/>
      <c r="H8" s="2"/>
      <c r="I8" s="2"/>
      <c r="J8" s="2"/>
      <c r="K8" s="2"/>
      <c r="L8" s="5"/>
      <c r="M8" s="2"/>
      <c r="N8" s="2"/>
      <c r="O8" s="2"/>
    </row>
    <row r="9" spans="1:15" ht="14.25">
      <c r="A9" s="94" t="s">
        <v>7</v>
      </c>
      <c r="B9" s="95"/>
      <c r="C9" s="95"/>
      <c r="D9" s="95"/>
      <c r="E9" s="95"/>
      <c r="F9" s="95"/>
      <c r="G9" s="2"/>
      <c r="H9" s="2"/>
      <c r="I9" s="2"/>
      <c r="J9" s="2"/>
      <c r="K9" s="2"/>
      <c r="L9" s="2"/>
      <c r="M9" s="2"/>
      <c r="N9" s="2"/>
      <c r="O9" s="2"/>
    </row>
    <row r="10" spans="1:15" ht="14.25">
      <c r="A10" s="2" t="s">
        <v>4</v>
      </c>
      <c r="B10" s="2"/>
      <c r="C10" s="2"/>
      <c r="D10" s="2"/>
      <c r="E10" s="2"/>
      <c r="F10" s="2"/>
      <c r="G10" s="2"/>
      <c r="H10" s="2"/>
      <c r="I10" s="2"/>
      <c r="J10" s="2"/>
      <c r="K10" s="2"/>
      <c r="L10" s="2"/>
      <c r="M10" s="2"/>
      <c r="N10" s="2"/>
      <c r="O10" s="2"/>
    </row>
    <row r="11" spans="1:15" ht="14.25">
      <c r="A11" s="94" t="s">
        <v>8</v>
      </c>
      <c r="B11" s="95"/>
      <c r="C11" s="95"/>
      <c r="D11" s="2"/>
      <c r="E11" s="2"/>
      <c r="F11" s="2"/>
      <c r="G11" s="2"/>
      <c r="H11" s="2"/>
      <c r="I11" s="2"/>
      <c r="J11" s="2"/>
      <c r="K11" s="2"/>
      <c r="L11" s="2"/>
      <c r="M11" s="2"/>
      <c r="N11" s="2"/>
      <c r="O11" s="2"/>
    </row>
    <row r="12" spans="1:15" ht="14.25">
      <c r="A12" s="2"/>
      <c r="B12" s="2"/>
      <c r="C12" s="2"/>
      <c r="D12" s="2"/>
      <c r="E12" s="2"/>
      <c r="F12" s="2"/>
      <c r="G12" s="2"/>
      <c r="H12" s="2"/>
      <c r="I12" s="2"/>
      <c r="J12" s="2"/>
      <c r="K12" s="2"/>
      <c r="L12" s="2"/>
      <c r="M12" s="2"/>
      <c r="N12" s="2"/>
      <c r="O12" s="2"/>
    </row>
    <row r="13" spans="1:15" ht="14.25">
      <c r="A13" s="94" t="s">
        <v>9</v>
      </c>
      <c r="B13" s="95"/>
      <c r="C13" s="95"/>
      <c r="D13" s="95"/>
      <c r="E13" s="95"/>
      <c r="F13" s="95"/>
      <c r="G13" s="95"/>
      <c r="H13" s="95"/>
      <c r="I13" s="95"/>
      <c r="J13" s="95"/>
      <c r="K13" s="2"/>
      <c r="L13" s="2"/>
      <c r="M13" s="2"/>
      <c r="N13" s="2"/>
      <c r="O13" s="2"/>
    </row>
    <row r="14" spans="1:15" ht="14.25">
      <c r="A14" s="3" t="s">
        <v>4</v>
      </c>
      <c r="B14" s="2"/>
      <c r="C14" s="2"/>
      <c r="D14" s="2"/>
      <c r="E14" s="2"/>
      <c r="F14" s="2"/>
      <c r="G14" s="2"/>
      <c r="H14" s="2"/>
      <c r="I14" s="2"/>
      <c r="J14" s="2"/>
      <c r="K14" s="2"/>
      <c r="L14" s="2"/>
      <c r="M14" s="2"/>
      <c r="N14" s="2"/>
      <c r="O14" s="2"/>
    </row>
    <row r="15" spans="1:15" ht="14.25">
      <c r="A15" s="94" t="s">
        <v>10</v>
      </c>
      <c r="B15" s="95"/>
      <c r="C15" s="95"/>
      <c r="D15" s="2"/>
      <c r="E15" s="2"/>
      <c r="F15" s="2"/>
      <c r="G15" s="2"/>
      <c r="H15" s="2"/>
      <c r="I15" s="2"/>
      <c r="J15" s="2"/>
      <c r="K15" s="2"/>
      <c r="L15" s="2"/>
      <c r="M15" s="2"/>
      <c r="N15" s="2"/>
      <c r="O15" s="2"/>
    </row>
    <row r="16" spans="1:15" ht="14.25">
      <c r="A16" s="94" t="s">
        <v>11</v>
      </c>
      <c r="B16" s="95"/>
      <c r="C16" s="2"/>
      <c r="D16" s="2"/>
      <c r="E16" s="2"/>
      <c r="F16" s="2"/>
      <c r="G16" s="2"/>
      <c r="H16" s="2"/>
      <c r="I16" s="2"/>
      <c r="J16" s="2"/>
      <c r="K16" s="2"/>
      <c r="L16" s="2"/>
      <c r="M16" s="6"/>
      <c r="N16" s="2"/>
      <c r="O16" s="2"/>
    </row>
    <row r="17" spans="1:15" ht="14.25">
      <c r="A17" s="2"/>
      <c r="B17" s="2"/>
      <c r="C17" s="2"/>
      <c r="D17" s="2"/>
      <c r="E17" s="2"/>
      <c r="F17" s="2"/>
      <c r="G17" s="2"/>
      <c r="H17" s="2"/>
      <c r="I17" s="2"/>
      <c r="J17" s="2"/>
      <c r="K17" s="2"/>
      <c r="L17" s="2"/>
      <c r="M17" s="2"/>
      <c r="N17" s="2"/>
      <c r="O17" s="2"/>
    </row>
    <row r="18" spans="1:15" ht="14.25">
      <c r="A18" s="3" t="s">
        <v>12</v>
      </c>
      <c r="B18" s="2"/>
      <c r="C18" s="2"/>
      <c r="D18" s="2"/>
      <c r="E18" s="2"/>
      <c r="F18" s="2"/>
      <c r="G18" s="2"/>
      <c r="H18" s="2"/>
      <c r="I18" s="2"/>
      <c r="J18" s="2"/>
      <c r="K18" s="2"/>
      <c r="L18" s="2"/>
      <c r="M18" s="2"/>
      <c r="N18" s="2"/>
      <c r="O18" s="2"/>
    </row>
    <row r="19" spans="1:15" ht="14.25">
      <c r="A19" s="101" t="s">
        <v>13</v>
      </c>
      <c r="B19" s="95"/>
      <c r="C19" s="2"/>
      <c r="D19" s="2"/>
      <c r="E19" s="2"/>
      <c r="F19" s="2"/>
      <c r="G19" s="2"/>
      <c r="H19" s="2"/>
      <c r="I19" s="2"/>
      <c r="J19" s="2"/>
      <c r="K19" s="2"/>
      <c r="L19" s="2"/>
      <c r="M19" s="2"/>
      <c r="N19" s="2"/>
      <c r="O19" s="2"/>
    </row>
    <row r="20" spans="1:15" ht="14.25">
      <c r="A20" s="94" t="s">
        <v>14</v>
      </c>
      <c r="B20" s="95"/>
      <c r="C20" s="95"/>
      <c r="D20" s="95"/>
      <c r="E20" s="95"/>
      <c r="F20" s="2"/>
      <c r="G20" s="2"/>
      <c r="H20" s="2"/>
      <c r="I20" s="2"/>
      <c r="J20" s="2"/>
      <c r="K20" s="2"/>
      <c r="L20" s="2"/>
      <c r="M20" s="2"/>
      <c r="N20" s="2"/>
      <c r="O20" s="2"/>
    </row>
    <row r="21" spans="1:15" ht="14.25">
      <c r="A21" s="94" t="s">
        <v>15</v>
      </c>
      <c r="B21" s="95"/>
      <c r="C21" s="95"/>
      <c r="D21" s="95"/>
      <c r="E21" s="95"/>
      <c r="F21" s="95"/>
      <c r="G21" s="2"/>
      <c r="H21" s="2"/>
      <c r="I21" s="2"/>
      <c r="J21" s="2"/>
      <c r="K21" s="2"/>
      <c r="L21" s="2"/>
      <c r="M21" s="2"/>
      <c r="N21" s="2"/>
      <c r="O21" s="2"/>
    </row>
    <row r="22" spans="1:15" ht="14.25">
      <c r="A22" s="2"/>
      <c r="B22" s="2"/>
      <c r="C22" s="2"/>
      <c r="D22" s="2"/>
      <c r="E22" s="2"/>
      <c r="F22" s="2"/>
      <c r="G22" s="2"/>
      <c r="H22" s="2"/>
      <c r="I22" s="2"/>
      <c r="J22" s="2"/>
      <c r="K22" s="2"/>
      <c r="L22" s="2"/>
      <c r="M22" s="2"/>
      <c r="N22" s="2"/>
      <c r="O22" s="2"/>
    </row>
    <row r="23" spans="1:15" ht="14.25">
      <c r="A23" s="1" t="s">
        <v>16</v>
      </c>
      <c r="B23" s="2"/>
      <c r="C23" s="2"/>
      <c r="D23" s="2"/>
      <c r="E23" s="2"/>
      <c r="F23" s="2"/>
      <c r="G23" s="2"/>
      <c r="H23" s="2"/>
      <c r="I23" s="2"/>
      <c r="J23" s="2"/>
      <c r="K23" s="2"/>
      <c r="L23" s="2"/>
      <c r="M23" s="2"/>
      <c r="N23" s="2"/>
      <c r="O23" s="2"/>
    </row>
    <row r="24" spans="1:15" ht="14.25">
      <c r="A24" s="2"/>
      <c r="B24" s="2"/>
      <c r="C24" s="2"/>
      <c r="D24" s="2"/>
      <c r="E24" s="2"/>
      <c r="F24" s="2"/>
      <c r="G24" s="2"/>
      <c r="H24" s="2"/>
      <c r="I24" s="2"/>
      <c r="J24" s="2"/>
      <c r="K24" s="2"/>
      <c r="L24" s="2"/>
      <c r="M24" s="2"/>
      <c r="N24" s="2"/>
      <c r="O24" s="2"/>
    </row>
    <row r="25" spans="1:15" ht="14.25">
      <c r="A25" s="94" t="s">
        <v>17</v>
      </c>
      <c r="B25" s="95"/>
      <c r="C25" s="95"/>
      <c r="D25" s="95"/>
      <c r="E25" s="95"/>
      <c r="F25" s="95"/>
      <c r="G25" s="95"/>
      <c r="H25" s="95"/>
      <c r="I25" s="95"/>
      <c r="J25" s="95"/>
      <c r="K25" s="2"/>
      <c r="L25" s="2"/>
      <c r="M25" s="2"/>
      <c r="N25" s="2"/>
      <c r="O25" s="2"/>
    </row>
    <row r="26" spans="1:15" ht="14.25">
      <c r="A26" s="94" t="s">
        <v>18</v>
      </c>
      <c r="B26" s="95"/>
      <c r="C26" s="95"/>
      <c r="D26" s="95"/>
      <c r="E26" s="2"/>
      <c r="F26" s="2"/>
      <c r="G26" s="2"/>
      <c r="H26" s="2"/>
      <c r="I26" s="2"/>
      <c r="J26" s="2"/>
      <c r="K26" s="2"/>
      <c r="L26" s="2"/>
      <c r="M26" s="2"/>
      <c r="N26" s="2"/>
      <c r="O26" s="2"/>
    </row>
    <row r="27" spans="1:15" ht="14.25">
      <c r="A27" s="94" t="s">
        <v>19</v>
      </c>
      <c r="B27" s="95"/>
      <c r="C27" s="95"/>
      <c r="D27" s="95"/>
      <c r="E27" s="2"/>
      <c r="F27" s="2"/>
      <c r="G27" s="2"/>
      <c r="H27" s="2"/>
      <c r="I27" s="2"/>
      <c r="J27" s="2"/>
      <c r="K27" s="2"/>
      <c r="L27" s="2"/>
      <c r="M27" s="2"/>
      <c r="N27" s="2"/>
      <c r="O27" s="2"/>
    </row>
    <row r="28" spans="1:15" ht="14.25">
      <c r="A28" s="2"/>
      <c r="B28" s="2"/>
      <c r="C28" s="2"/>
      <c r="D28" s="2"/>
      <c r="E28" s="2"/>
      <c r="F28" s="2"/>
      <c r="G28" s="2"/>
      <c r="H28" s="2"/>
      <c r="I28" s="2"/>
      <c r="J28" s="2"/>
      <c r="K28" s="2"/>
      <c r="L28" s="2"/>
      <c r="M28" s="2"/>
      <c r="N28" s="2"/>
      <c r="O28" s="2"/>
    </row>
    <row r="29" spans="1:15" ht="14.25">
      <c r="A29" s="3" t="s">
        <v>12</v>
      </c>
      <c r="B29" s="2"/>
      <c r="C29" s="2"/>
      <c r="D29" s="2"/>
      <c r="E29" s="2"/>
      <c r="F29" s="2"/>
      <c r="G29" s="2"/>
      <c r="H29" s="2"/>
      <c r="I29" s="2"/>
      <c r="J29" s="2"/>
      <c r="K29" s="2"/>
      <c r="L29" s="2"/>
      <c r="M29" s="2"/>
      <c r="N29" s="2"/>
      <c r="O29" s="2"/>
    </row>
    <row r="30" spans="1:15" ht="14.25">
      <c r="A30" s="101" t="s">
        <v>20</v>
      </c>
      <c r="B30" s="95"/>
      <c r="C30" s="95"/>
      <c r="D30" s="2"/>
      <c r="E30" s="2"/>
      <c r="F30" s="2"/>
      <c r="G30" s="2"/>
      <c r="H30" s="2"/>
      <c r="I30" s="2"/>
      <c r="J30" s="2"/>
      <c r="K30" s="2"/>
      <c r="L30" s="2"/>
      <c r="M30" s="2"/>
      <c r="N30" s="2"/>
      <c r="O30" s="2"/>
    </row>
    <row r="31" spans="1:15" ht="14.25">
      <c r="A31" s="102" t="s">
        <v>21</v>
      </c>
      <c r="B31" s="95"/>
      <c r="C31" s="95"/>
      <c r="D31" s="2"/>
      <c r="E31" s="2"/>
      <c r="F31" s="2"/>
      <c r="G31" s="2"/>
      <c r="H31" s="2"/>
      <c r="I31" s="2"/>
      <c r="J31" s="2"/>
      <c r="K31" s="2"/>
      <c r="L31" s="2"/>
      <c r="M31" s="2"/>
      <c r="N31" s="2"/>
      <c r="O31" s="2"/>
    </row>
    <row r="32" spans="1:15" ht="14.25">
      <c r="A32" s="102" t="s">
        <v>22</v>
      </c>
      <c r="B32" s="95"/>
      <c r="C32" s="95"/>
      <c r="D32" s="2"/>
      <c r="E32" s="2"/>
      <c r="F32" s="2"/>
      <c r="G32" s="2"/>
      <c r="H32" s="2"/>
      <c r="I32" s="2"/>
      <c r="J32" s="2"/>
      <c r="K32" s="2"/>
      <c r="L32" s="2"/>
      <c r="M32" s="2"/>
      <c r="N32" s="2"/>
      <c r="O32" s="2"/>
    </row>
    <row r="33" spans="1:15" ht="14.25">
      <c r="A33" s="102" t="s">
        <v>23</v>
      </c>
      <c r="B33" s="95"/>
      <c r="C33" s="95"/>
      <c r="D33" s="2"/>
      <c r="E33" s="2"/>
      <c r="F33" s="2"/>
      <c r="G33" s="2"/>
      <c r="H33" s="2"/>
      <c r="I33" s="2"/>
      <c r="J33" s="2"/>
      <c r="K33" s="2"/>
      <c r="L33" s="2"/>
      <c r="M33" s="2"/>
      <c r="N33" s="2"/>
      <c r="O33" s="2"/>
    </row>
    <row r="34" spans="1:15" ht="14.25">
      <c r="A34" s="102" t="s">
        <v>24</v>
      </c>
      <c r="B34" s="95"/>
      <c r="C34" s="2"/>
      <c r="D34" s="2"/>
      <c r="E34" s="2"/>
      <c r="F34" s="2"/>
      <c r="G34" s="2"/>
      <c r="H34" s="2"/>
      <c r="I34" s="2"/>
      <c r="J34" s="2"/>
      <c r="K34" s="2"/>
      <c r="L34" s="2"/>
      <c r="M34" s="2"/>
      <c r="N34" s="2"/>
      <c r="O34" s="2"/>
    </row>
    <row r="35" spans="1:15" ht="14.25">
      <c r="A35" s="102" t="s">
        <v>25</v>
      </c>
      <c r="B35" s="95"/>
      <c r="C35" s="95"/>
      <c r="D35" s="2"/>
      <c r="E35" s="2"/>
      <c r="F35" s="2"/>
      <c r="G35" s="2"/>
      <c r="H35" s="2"/>
      <c r="I35" s="2"/>
      <c r="J35" s="2"/>
      <c r="K35" s="2"/>
      <c r="L35" s="2"/>
      <c r="M35" s="2"/>
      <c r="N35" s="2"/>
      <c r="O35" s="2"/>
    </row>
    <row r="36" spans="1:15" ht="14.25">
      <c r="A36" s="102" t="s">
        <v>26</v>
      </c>
      <c r="B36" s="95"/>
      <c r="C36" s="2"/>
      <c r="D36" s="2"/>
      <c r="E36" s="2"/>
      <c r="F36" s="2"/>
      <c r="G36" s="2"/>
      <c r="H36" s="2"/>
      <c r="I36" s="2"/>
      <c r="J36" s="2"/>
      <c r="K36" s="2"/>
      <c r="L36" s="2"/>
      <c r="M36" s="2"/>
      <c r="N36" s="2"/>
      <c r="O36" s="2"/>
    </row>
    <row r="37" spans="1:15" ht="14.25">
      <c r="A37" s="2"/>
      <c r="B37" s="2"/>
      <c r="C37" s="2"/>
      <c r="D37" s="2"/>
      <c r="E37" s="2"/>
      <c r="F37" s="2"/>
      <c r="G37" s="2"/>
      <c r="H37" s="2"/>
      <c r="I37" s="2"/>
      <c r="J37" s="2"/>
      <c r="K37" s="2"/>
      <c r="L37" s="2"/>
      <c r="M37" s="2"/>
      <c r="N37" s="2"/>
      <c r="O37" s="2"/>
    </row>
    <row r="38" spans="1:15" ht="14.25">
      <c r="A38" s="3" t="s">
        <v>4</v>
      </c>
      <c r="B38" s="2"/>
      <c r="C38" s="2"/>
      <c r="D38" s="2"/>
      <c r="E38" s="2"/>
      <c r="F38" s="2"/>
      <c r="G38" s="2"/>
      <c r="H38" s="2"/>
      <c r="I38" s="2"/>
      <c r="J38" s="2"/>
      <c r="K38" s="2"/>
      <c r="L38" s="2"/>
      <c r="M38" s="2"/>
      <c r="N38" s="2"/>
      <c r="O38" s="2"/>
    </row>
    <row r="39" spans="1:15" ht="15.75" customHeight="1">
      <c r="A39" s="8" t="s">
        <v>27</v>
      </c>
      <c r="B39" s="8" t="s">
        <v>28</v>
      </c>
      <c r="C39" s="8" t="s">
        <v>29</v>
      </c>
      <c r="D39" s="8" t="s">
        <v>30</v>
      </c>
      <c r="E39" s="2"/>
      <c r="F39" s="2"/>
      <c r="G39" s="2"/>
      <c r="H39" s="2"/>
      <c r="I39" s="2"/>
      <c r="J39" s="2"/>
      <c r="K39" s="2"/>
      <c r="L39" s="2"/>
      <c r="M39" s="2"/>
      <c r="N39" s="2"/>
      <c r="O39" s="2"/>
    </row>
    <row r="40" spans="1:15" ht="15.75" customHeight="1">
      <c r="A40" s="9">
        <v>1</v>
      </c>
      <c r="B40" s="10" t="s">
        <v>31</v>
      </c>
      <c r="C40" s="11">
        <v>42621</v>
      </c>
      <c r="D40" s="12">
        <v>42715</v>
      </c>
      <c r="E40" s="4"/>
      <c r="F40" s="4"/>
      <c r="G40" s="4"/>
      <c r="H40" s="2"/>
      <c r="I40" s="4"/>
      <c r="J40" s="4"/>
      <c r="K40" s="2"/>
      <c r="L40" s="2"/>
      <c r="M40" s="2"/>
      <c r="N40" s="2"/>
      <c r="O40" s="2"/>
    </row>
    <row r="41" spans="1:15" ht="15.75" customHeight="1">
      <c r="A41" s="9">
        <v>2</v>
      </c>
      <c r="B41" s="10" t="s">
        <v>31</v>
      </c>
      <c r="C41" s="11">
        <v>42682</v>
      </c>
      <c r="D41" s="12">
        <v>42685</v>
      </c>
      <c r="E41" s="4"/>
      <c r="F41" s="4"/>
      <c r="G41" s="4"/>
      <c r="H41" s="2"/>
      <c r="I41" s="4"/>
      <c r="J41" s="2"/>
      <c r="K41" s="2"/>
      <c r="L41" s="2"/>
      <c r="M41" s="2"/>
      <c r="N41" s="2"/>
      <c r="O41" s="2"/>
    </row>
    <row r="42" spans="1:15" ht="15.75" customHeight="1">
      <c r="A42" s="9">
        <v>3</v>
      </c>
      <c r="B42" s="10" t="s">
        <v>32</v>
      </c>
      <c r="C42" s="11">
        <v>42533</v>
      </c>
      <c r="D42" s="11">
        <v>42537</v>
      </c>
      <c r="E42" s="4"/>
      <c r="F42" s="4"/>
      <c r="G42" s="4"/>
      <c r="H42" s="2"/>
      <c r="I42" s="4"/>
      <c r="J42" s="2"/>
      <c r="K42" s="2"/>
      <c r="L42" s="2"/>
      <c r="M42" s="2"/>
      <c r="N42" s="2"/>
      <c r="O42" s="2"/>
    </row>
    <row r="43" spans="1:15" ht="15.75" customHeight="1">
      <c r="A43" s="9">
        <v>4</v>
      </c>
      <c r="B43" s="10" t="s">
        <v>33</v>
      </c>
      <c r="C43" s="12">
        <v>42288</v>
      </c>
      <c r="D43" s="12">
        <v>42295</v>
      </c>
      <c r="E43" s="4"/>
      <c r="F43" s="4"/>
      <c r="G43" s="4"/>
      <c r="H43" s="2"/>
      <c r="I43" s="4"/>
      <c r="J43" s="2"/>
      <c r="K43" s="2"/>
      <c r="L43" s="2"/>
      <c r="M43" s="2"/>
      <c r="N43" s="2"/>
      <c r="O43" s="2"/>
    </row>
    <row r="44" spans="1:15" ht="15.75" customHeight="1">
      <c r="A44" s="9">
        <v>5</v>
      </c>
      <c r="B44" s="10" t="s">
        <v>33</v>
      </c>
      <c r="C44" s="12">
        <v>42288</v>
      </c>
      <c r="D44" s="12">
        <v>42295</v>
      </c>
      <c r="E44" s="4"/>
      <c r="F44" s="4"/>
      <c r="G44" s="4"/>
      <c r="H44" s="2"/>
      <c r="I44" s="4"/>
      <c r="J44" s="2"/>
      <c r="K44" s="2"/>
      <c r="L44" s="2"/>
      <c r="M44" s="2"/>
      <c r="N44" s="2"/>
      <c r="O44" s="2"/>
    </row>
    <row r="45" spans="1:15" ht="15.75" customHeight="1">
      <c r="A45" s="9">
        <v>6</v>
      </c>
      <c r="B45" s="10" t="s">
        <v>34</v>
      </c>
      <c r="C45" s="11">
        <v>41799</v>
      </c>
      <c r="D45" s="11">
        <v>41804</v>
      </c>
      <c r="E45" s="4"/>
      <c r="F45" s="4"/>
      <c r="G45" s="4"/>
      <c r="H45" s="2"/>
      <c r="I45" s="4"/>
      <c r="J45" s="2"/>
      <c r="K45" s="2"/>
      <c r="L45" s="2"/>
      <c r="M45" s="2"/>
      <c r="N45" s="2"/>
      <c r="O45" s="2"/>
    </row>
    <row r="46" spans="1:15" ht="15.75" customHeight="1">
      <c r="A46" s="9">
        <v>7</v>
      </c>
      <c r="B46" s="10" t="s">
        <v>34</v>
      </c>
      <c r="C46" s="11">
        <v>41799</v>
      </c>
      <c r="D46" s="11">
        <v>41804</v>
      </c>
      <c r="E46" s="4"/>
      <c r="F46" s="4"/>
      <c r="G46" s="4"/>
      <c r="H46" s="2"/>
      <c r="I46" s="4"/>
      <c r="J46" s="2"/>
      <c r="K46" s="2"/>
      <c r="L46" s="2"/>
      <c r="M46" s="2"/>
      <c r="N46" s="2"/>
      <c r="O46" s="2"/>
    </row>
    <row r="47" spans="1:15" ht="15.75" customHeight="1">
      <c r="A47" s="9">
        <v>8</v>
      </c>
      <c r="B47" s="10" t="s">
        <v>34</v>
      </c>
      <c r="C47" s="11">
        <v>41799</v>
      </c>
      <c r="D47" s="11">
        <v>41804</v>
      </c>
      <c r="E47" s="4"/>
      <c r="F47" s="4"/>
      <c r="G47" s="4"/>
      <c r="H47" s="2"/>
      <c r="I47" s="4"/>
      <c r="J47" s="2"/>
      <c r="K47" s="2"/>
      <c r="L47" s="2"/>
      <c r="M47" s="2"/>
      <c r="N47" s="2"/>
      <c r="O47" s="2"/>
    </row>
    <row r="48" spans="1:15" ht="15.75" customHeight="1">
      <c r="A48" s="9">
        <v>9</v>
      </c>
      <c r="B48" s="10" t="s">
        <v>34</v>
      </c>
      <c r="C48" s="11">
        <v>41799</v>
      </c>
      <c r="D48" s="11">
        <v>41804</v>
      </c>
      <c r="E48" s="4"/>
      <c r="F48" s="4"/>
      <c r="G48" s="4"/>
      <c r="H48" s="2"/>
      <c r="I48" s="4"/>
      <c r="J48" s="2"/>
      <c r="K48" s="2"/>
      <c r="L48" s="2"/>
      <c r="M48" s="2"/>
      <c r="N48" s="2"/>
      <c r="O48" s="2"/>
    </row>
    <row r="49" spans="1:15" ht="15.75" customHeight="1">
      <c r="A49" s="9">
        <v>10</v>
      </c>
      <c r="B49" s="10" t="s">
        <v>34</v>
      </c>
      <c r="C49" s="11">
        <v>41799</v>
      </c>
      <c r="D49" s="11">
        <v>41804</v>
      </c>
      <c r="E49" s="4"/>
      <c r="F49" s="4"/>
      <c r="G49" s="4"/>
      <c r="H49" s="2"/>
      <c r="I49" s="4"/>
      <c r="J49" s="2"/>
      <c r="K49" s="2"/>
      <c r="L49" s="2"/>
      <c r="M49" s="2"/>
      <c r="N49" s="2"/>
      <c r="O49" s="2"/>
    </row>
    <row r="50" spans="1:15" ht="15.75" customHeight="1">
      <c r="A50" s="9">
        <v>11</v>
      </c>
      <c r="B50" s="10" t="s">
        <v>34</v>
      </c>
      <c r="C50" s="11">
        <v>41799</v>
      </c>
      <c r="D50" s="11">
        <v>41804</v>
      </c>
      <c r="E50" s="4"/>
      <c r="F50" s="4"/>
      <c r="G50" s="4"/>
      <c r="H50" s="2"/>
      <c r="I50" s="4"/>
      <c r="J50" s="2"/>
      <c r="K50" s="2"/>
      <c r="L50" s="2"/>
      <c r="M50" s="2"/>
      <c r="N50" s="2"/>
      <c r="O50" s="2"/>
    </row>
    <row r="51" spans="1:15" ht="15.75" customHeight="1">
      <c r="A51" s="13"/>
      <c r="B51" s="13"/>
      <c r="C51" s="13"/>
      <c r="D51" s="13"/>
      <c r="E51" s="2"/>
      <c r="F51" s="2"/>
      <c r="G51" s="2"/>
      <c r="H51" s="2"/>
      <c r="I51" s="2"/>
      <c r="J51" s="2"/>
      <c r="K51" s="2"/>
      <c r="L51" s="2"/>
      <c r="M51" s="2"/>
      <c r="N51" s="2"/>
      <c r="O51" s="2"/>
    </row>
    <row r="52" spans="1:15" ht="15.75" customHeight="1">
      <c r="A52" s="100" t="s">
        <v>35</v>
      </c>
      <c r="B52" s="95"/>
      <c r="C52" s="95"/>
      <c r="D52" s="95"/>
      <c r="E52" s="95"/>
      <c r="F52" s="2"/>
      <c r="G52" s="2"/>
      <c r="H52" s="2"/>
      <c r="I52" s="2"/>
      <c r="J52" s="2"/>
      <c r="K52" s="2"/>
      <c r="L52" s="2"/>
      <c r="M52" s="2"/>
      <c r="N52" s="2"/>
      <c r="O52" s="2"/>
    </row>
    <row r="53" spans="1:15" ht="15.75" customHeight="1">
      <c r="A53" s="13"/>
      <c r="B53" s="14">
        <f>DATEDIF(C40,D40,"d")</f>
        <v>94</v>
      </c>
      <c r="C53" s="13"/>
      <c r="D53" s="13"/>
      <c r="E53" s="2"/>
      <c r="F53" s="2"/>
      <c r="G53" s="2"/>
      <c r="H53" s="2"/>
      <c r="I53" s="2"/>
      <c r="J53" s="2"/>
      <c r="K53" s="2"/>
      <c r="L53" s="2"/>
      <c r="M53" s="2"/>
      <c r="N53" s="2"/>
      <c r="O53" s="2"/>
    </row>
    <row r="54" spans="1:15" ht="15.75" customHeight="1">
      <c r="A54" s="100" t="s">
        <v>36</v>
      </c>
      <c r="B54" s="95"/>
      <c r="C54" s="95"/>
      <c r="D54" s="95"/>
      <c r="E54" s="95"/>
      <c r="F54" s="2"/>
      <c r="G54" s="2"/>
      <c r="H54" s="2"/>
      <c r="I54" s="2"/>
      <c r="J54" s="2"/>
      <c r="K54" s="2"/>
      <c r="L54" s="2"/>
      <c r="M54" s="2"/>
      <c r="N54" s="2"/>
      <c r="O54" s="2"/>
    </row>
    <row r="55" spans="1:15" ht="15.75" customHeight="1">
      <c r="A55" s="13"/>
      <c r="B55" s="14"/>
      <c r="C55" s="13"/>
      <c r="D55" s="13"/>
      <c r="E55" s="2"/>
      <c r="F55" s="2"/>
      <c r="G55" s="2"/>
      <c r="H55" s="2"/>
      <c r="I55" s="2"/>
      <c r="J55" s="2"/>
      <c r="K55" s="2"/>
      <c r="L55" s="2"/>
      <c r="M55" s="2"/>
      <c r="N55" s="2"/>
      <c r="O55" s="2"/>
    </row>
    <row r="56" spans="1:15" ht="15.75" customHeight="1">
      <c r="A56" s="100">
        <v>1</v>
      </c>
      <c r="B56" s="95"/>
      <c r="C56" s="95"/>
      <c r="D56" s="95"/>
      <c r="E56" s="95"/>
      <c r="F56" s="95"/>
      <c r="G56" s="2"/>
      <c r="H56" s="2"/>
      <c r="I56" s="2"/>
      <c r="J56" s="2"/>
      <c r="K56" s="2"/>
      <c r="L56" s="2"/>
      <c r="M56" s="2"/>
      <c r="N56" s="2"/>
      <c r="O56" s="2"/>
    </row>
    <row r="57" spans="1:15" ht="15.75" customHeight="1">
      <c r="A57" s="13"/>
      <c r="B57" s="14"/>
      <c r="C57" s="13"/>
      <c r="D57" s="13"/>
      <c r="E57" s="2"/>
      <c r="F57" s="2"/>
      <c r="G57" s="2"/>
      <c r="H57" s="2"/>
      <c r="I57" s="2"/>
      <c r="J57" s="2"/>
      <c r="K57" s="2"/>
      <c r="L57" s="2"/>
      <c r="M57" s="2"/>
      <c r="N57" s="2"/>
      <c r="O57" s="2"/>
    </row>
    <row r="58" spans="1:15" ht="15.75" customHeight="1">
      <c r="A58" s="13"/>
      <c r="B58" s="13"/>
      <c r="C58" s="13"/>
      <c r="D58" s="13"/>
      <c r="E58" s="2"/>
      <c r="F58" s="2"/>
      <c r="G58" s="2"/>
      <c r="H58" s="2"/>
      <c r="I58" s="2"/>
      <c r="J58" s="2"/>
      <c r="K58" s="2"/>
      <c r="L58" s="2"/>
      <c r="M58" s="2"/>
      <c r="N58" s="2"/>
      <c r="O58" s="2"/>
    </row>
    <row r="59" spans="1:15" ht="15.75" customHeight="1">
      <c r="A59" s="13"/>
      <c r="B59" s="13"/>
      <c r="C59" s="13"/>
      <c r="D59" s="13"/>
      <c r="E59" s="2"/>
      <c r="F59" s="2"/>
      <c r="G59" s="2"/>
      <c r="H59" s="2"/>
      <c r="I59" s="2"/>
      <c r="J59" s="2"/>
      <c r="K59" s="2"/>
      <c r="L59" s="2"/>
      <c r="M59" s="2"/>
      <c r="N59" s="2"/>
      <c r="O59" s="2"/>
    </row>
    <row r="60" spans="1:15" ht="15.75" customHeight="1">
      <c r="A60" s="13"/>
      <c r="B60" s="13"/>
      <c r="C60" s="13"/>
      <c r="D60" s="13"/>
      <c r="E60" s="2"/>
      <c r="F60" s="2"/>
      <c r="G60" s="2"/>
      <c r="H60" s="2"/>
      <c r="I60" s="2"/>
      <c r="J60" s="2"/>
      <c r="K60" s="2"/>
      <c r="L60" s="2"/>
      <c r="M60" s="2"/>
      <c r="N60" s="2"/>
      <c r="O60" s="2"/>
    </row>
    <row r="61" spans="1:15" ht="14.25">
      <c r="A61" s="1" t="s">
        <v>37</v>
      </c>
      <c r="B61" s="2"/>
      <c r="C61" s="2"/>
      <c r="D61" s="2"/>
      <c r="E61" s="2"/>
      <c r="F61" s="2"/>
      <c r="G61" s="2"/>
      <c r="H61" s="2"/>
      <c r="I61" s="2"/>
      <c r="J61" s="2"/>
      <c r="K61" s="2"/>
      <c r="L61" s="2"/>
      <c r="M61" s="2"/>
      <c r="N61" s="2"/>
      <c r="O61" s="2"/>
    </row>
    <row r="62" spans="1:15" ht="14.25">
      <c r="A62" s="94" t="s">
        <v>38</v>
      </c>
      <c r="B62" s="95"/>
      <c r="C62" s="2"/>
      <c r="D62" s="2"/>
      <c r="E62" s="2"/>
      <c r="F62" s="2"/>
      <c r="G62" s="2"/>
      <c r="H62" s="2"/>
      <c r="I62" s="2"/>
      <c r="J62" s="2"/>
      <c r="K62" s="2"/>
      <c r="L62" s="5"/>
      <c r="M62" s="2"/>
      <c r="N62" s="2"/>
      <c r="O62" s="2"/>
    </row>
    <row r="63" spans="1:15" ht="14.25">
      <c r="A63" s="3" t="s">
        <v>12</v>
      </c>
      <c r="B63" s="2"/>
      <c r="C63" s="2"/>
      <c r="D63" s="2"/>
      <c r="E63" s="2"/>
      <c r="F63" s="2"/>
      <c r="G63" s="2"/>
      <c r="H63" s="2"/>
      <c r="I63" s="2"/>
      <c r="J63" s="2"/>
      <c r="K63" s="2"/>
      <c r="L63" s="15"/>
      <c r="M63" s="2"/>
      <c r="N63" s="2"/>
      <c r="O63" s="2"/>
    </row>
    <row r="64" spans="1:15" ht="14.25">
      <c r="A64" s="7" t="s">
        <v>39</v>
      </c>
      <c r="B64" s="2"/>
      <c r="C64" s="2"/>
      <c r="D64" s="2"/>
      <c r="E64" s="2"/>
      <c r="F64" s="2"/>
      <c r="G64" s="2"/>
      <c r="H64" s="2"/>
      <c r="I64" s="2"/>
      <c r="J64" s="2"/>
      <c r="K64" s="2"/>
      <c r="L64" s="2"/>
      <c r="M64" s="2"/>
      <c r="N64" s="2"/>
      <c r="O64" s="2"/>
    </row>
    <row r="65" spans="1:15" ht="14.25">
      <c r="A65" s="2"/>
      <c r="B65" s="2"/>
      <c r="C65" s="2"/>
      <c r="D65" s="2"/>
      <c r="E65" s="2"/>
      <c r="F65" s="2"/>
      <c r="G65" s="2"/>
      <c r="H65" s="2"/>
      <c r="I65" s="2"/>
      <c r="J65" s="2"/>
      <c r="K65" s="2"/>
      <c r="L65" s="2"/>
      <c r="M65" s="2"/>
      <c r="N65" s="2"/>
      <c r="O65" s="2"/>
    </row>
    <row r="66" spans="1:15" ht="14.25">
      <c r="A66" s="1" t="s">
        <v>40</v>
      </c>
      <c r="B66" s="2"/>
      <c r="C66" s="2"/>
      <c r="D66" s="2"/>
      <c r="E66" s="2"/>
      <c r="F66" s="2"/>
      <c r="G66" s="2"/>
      <c r="H66" s="2"/>
      <c r="I66" s="2"/>
      <c r="J66" s="2"/>
      <c r="K66" s="2"/>
      <c r="L66" s="2"/>
      <c r="M66" s="2"/>
      <c r="N66" s="2"/>
      <c r="O66" s="2"/>
    </row>
    <row r="67" spans="1:15" ht="14.25">
      <c r="A67" s="94" t="s">
        <v>41</v>
      </c>
      <c r="B67" s="95"/>
      <c r="C67" s="95"/>
      <c r="D67" s="2"/>
      <c r="E67" s="2"/>
      <c r="F67" s="2"/>
      <c r="G67" s="2"/>
      <c r="H67" s="2"/>
      <c r="I67" s="2"/>
      <c r="J67" s="2"/>
      <c r="K67" s="2"/>
      <c r="L67" s="2"/>
      <c r="M67" s="2"/>
      <c r="N67" s="2"/>
      <c r="O67" s="2"/>
    </row>
    <row r="68" spans="1:15" ht="14.25">
      <c r="A68" s="2"/>
      <c r="B68" s="2"/>
      <c r="C68" s="2"/>
      <c r="D68" s="2"/>
      <c r="E68" s="2"/>
      <c r="F68" s="2"/>
      <c r="G68" s="2"/>
      <c r="H68" s="2"/>
      <c r="I68" s="2"/>
      <c r="J68" s="2"/>
      <c r="K68" s="2"/>
      <c r="L68" s="2"/>
      <c r="M68" s="2"/>
      <c r="N68" s="2"/>
      <c r="O68" s="2"/>
    </row>
    <row r="69" spans="1:15" ht="14.25">
      <c r="A69" s="3" t="s">
        <v>12</v>
      </c>
      <c r="B69" s="2"/>
      <c r="C69" s="2"/>
      <c r="D69" s="2"/>
      <c r="E69" s="2"/>
      <c r="F69" s="2"/>
      <c r="G69" s="2"/>
      <c r="H69" s="2"/>
      <c r="I69" s="2"/>
      <c r="J69" s="2"/>
      <c r="K69" s="2"/>
      <c r="L69" s="2"/>
      <c r="M69" s="2"/>
      <c r="N69" s="2"/>
      <c r="O69" s="2"/>
    </row>
    <row r="70" spans="1:15" ht="14.25">
      <c r="A70" s="101" t="s">
        <v>42</v>
      </c>
      <c r="B70" s="95"/>
      <c r="C70" s="2"/>
      <c r="D70" s="2"/>
      <c r="E70" s="2"/>
      <c r="F70" s="2"/>
      <c r="G70" s="2"/>
      <c r="H70" s="2"/>
      <c r="I70" s="2"/>
      <c r="J70" s="2"/>
      <c r="K70" s="2"/>
      <c r="L70" s="2"/>
      <c r="M70" s="2"/>
      <c r="N70" s="2"/>
      <c r="O70" s="2"/>
    </row>
    <row r="71" spans="1:15" ht="14.25">
      <c r="A71" s="94" t="s">
        <v>43</v>
      </c>
      <c r="B71" s="95"/>
      <c r="C71" s="95"/>
      <c r="D71" s="95"/>
      <c r="E71" s="2"/>
      <c r="F71" s="2"/>
      <c r="G71" s="2"/>
      <c r="H71" s="2"/>
      <c r="I71" s="2"/>
      <c r="J71" s="2"/>
      <c r="K71" s="2"/>
      <c r="L71" s="2"/>
      <c r="M71" s="2"/>
      <c r="N71" s="2"/>
      <c r="O71" s="2"/>
    </row>
    <row r="72" spans="1:15" ht="14.25">
      <c r="A72" s="94" t="s">
        <v>44</v>
      </c>
      <c r="B72" s="95"/>
      <c r="C72" s="95"/>
      <c r="D72" s="2"/>
      <c r="E72" s="2"/>
      <c r="F72" s="2"/>
      <c r="G72" s="2"/>
      <c r="H72" s="2"/>
      <c r="I72" s="2"/>
      <c r="J72" s="2"/>
      <c r="K72" s="2"/>
      <c r="L72" s="2"/>
      <c r="M72" s="2"/>
      <c r="N72" s="2"/>
      <c r="O72" s="2"/>
    </row>
    <row r="73" spans="1:15" ht="14.25">
      <c r="A73" s="94" t="s">
        <v>45</v>
      </c>
      <c r="B73" s="95"/>
      <c r="C73" s="95"/>
      <c r="D73" s="2"/>
      <c r="E73" s="2"/>
      <c r="F73" s="2"/>
      <c r="G73" s="2"/>
      <c r="H73" s="2"/>
      <c r="I73" s="2"/>
      <c r="J73" s="2"/>
      <c r="K73" s="2"/>
      <c r="L73" s="2"/>
      <c r="M73" s="2"/>
      <c r="N73" s="2"/>
      <c r="O73" s="2"/>
    </row>
    <row r="74" spans="1:15" ht="14.25">
      <c r="A74" s="94" t="s">
        <v>46</v>
      </c>
      <c r="B74" s="95"/>
      <c r="C74" s="95"/>
      <c r="D74" s="2"/>
      <c r="E74" s="2"/>
      <c r="F74" s="2"/>
      <c r="G74" s="2"/>
      <c r="H74" s="2"/>
      <c r="I74" s="2"/>
      <c r="J74" s="2"/>
      <c r="K74" s="2"/>
      <c r="L74" s="2"/>
      <c r="M74" s="2"/>
      <c r="N74" s="2"/>
      <c r="O74" s="2"/>
    </row>
    <row r="75" spans="1:15" ht="14.25">
      <c r="A75" s="2"/>
      <c r="B75" s="2"/>
      <c r="C75" s="2"/>
      <c r="D75" s="2"/>
      <c r="E75" s="2"/>
      <c r="F75" s="2"/>
      <c r="G75" s="2"/>
      <c r="H75" s="2"/>
      <c r="I75" s="2"/>
      <c r="J75" s="2"/>
      <c r="K75" s="2"/>
      <c r="L75" s="2"/>
      <c r="M75" s="2"/>
      <c r="N75" s="2"/>
      <c r="O75" s="2"/>
    </row>
    <row r="76" spans="1:15" ht="14.25">
      <c r="A76" s="2" t="s">
        <v>4</v>
      </c>
      <c r="B76" s="2"/>
      <c r="C76" s="2"/>
      <c r="D76" s="2"/>
      <c r="E76" s="2"/>
      <c r="F76" s="2"/>
      <c r="G76" s="2"/>
      <c r="H76" s="2"/>
      <c r="I76" s="2"/>
      <c r="J76" s="2"/>
      <c r="K76" s="2"/>
      <c r="L76" s="2"/>
      <c r="M76" s="2"/>
      <c r="N76" s="2"/>
      <c r="O76" s="2"/>
    </row>
    <row r="77" spans="1:15" ht="14.25">
      <c r="A77" s="94" t="s">
        <v>47</v>
      </c>
      <c r="B77" s="95"/>
      <c r="C77" s="95"/>
      <c r="D77" s="95"/>
      <c r="E77" s="2"/>
      <c r="F77" s="2"/>
      <c r="G77" s="2"/>
      <c r="H77" s="2"/>
      <c r="I77" s="2"/>
      <c r="J77" s="2"/>
      <c r="K77" s="2"/>
      <c r="L77" s="2"/>
      <c r="M77" s="2"/>
      <c r="N77" s="2"/>
      <c r="O77" s="2"/>
    </row>
    <row r="78" spans="1:15" ht="14.25">
      <c r="A78" s="2"/>
      <c r="B78" s="16"/>
      <c r="C78" s="2"/>
      <c r="D78" s="2"/>
      <c r="E78" s="2"/>
      <c r="F78" s="2"/>
      <c r="G78" s="2"/>
      <c r="H78" s="2"/>
      <c r="I78" s="2"/>
      <c r="J78" s="2"/>
      <c r="K78" s="2"/>
      <c r="L78" s="2"/>
      <c r="M78" s="2"/>
      <c r="N78" s="2"/>
      <c r="O78" s="2"/>
    </row>
    <row r="79" spans="1:15" ht="14.25">
      <c r="A79" s="2"/>
      <c r="B79" s="2"/>
      <c r="C79" s="2"/>
      <c r="D79" s="2"/>
      <c r="E79" s="2"/>
      <c r="F79" s="2"/>
      <c r="G79" s="2"/>
      <c r="H79" s="2"/>
      <c r="I79" s="2"/>
      <c r="J79" s="2"/>
      <c r="K79" s="2"/>
      <c r="L79" s="2"/>
      <c r="M79" s="2"/>
      <c r="N79" s="2"/>
      <c r="O79" s="2"/>
    </row>
    <row r="80" spans="1:15" ht="14.25">
      <c r="A80" s="2"/>
      <c r="B80" s="2"/>
      <c r="C80" s="2"/>
      <c r="D80" s="2"/>
      <c r="E80" s="2"/>
      <c r="F80" s="2"/>
      <c r="G80" s="2"/>
      <c r="H80" s="2"/>
      <c r="I80" s="2"/>
      <c r="J80" s="2"/>
      <c r="K80" s="2"/>
      <c r="L80" s="2"/>
      <c r="M80" s="2"/>
      <c r="N80" s="2"/>
      <c r="O80" s="2"/>
    </row>
    <row r="81" spans="1:15" ht="14.25">
      <c r="A81" s="1" t="s">
        <v>48</v>
      </c>
      <c r="B81" s="2"/>
      <c r="C81" s="2"/>
      <c r="D81" s="2"/>
      <c r="E81" s="2"/>
      <c r="F81" s="2"/>
      <c r="G81" s="2"/>
      <c r="H81" s="2"/>
      <c r="I81" s="2"/>
      <c r="J81" s="2"/>
      <c r="K81" s="2"/>
      <c r="L81" s="2"/>
      <c r="M81" s="2"/>
      <c r="N81" s="2"/>
      <c r="O81" s="2"/>
    </row>
    <row r="82" spans="1:15" ht="14.25">
      <c r="A82" s="94" t="s">
        <v>49</v>
      </c>
      <c r="B82" s="95"/>
      <c r="C82" s="95"/>
      <c r="D82" s="95"/>
      <c r="E82" s="95"/>
      <c r="F82" s="95"/>
      <c r="G82" s="95"/>
      <c r="H82" s="95"/>
      <c r="I82" s="95"/>
      <c r="J82" s="95"/>
      <c r="K82" s="95"/>
      <c r="L82" s="95"/>
      <c r="M82" s="95"/>
      <c r="N82" s="95"/>
      <c r="O82" s="95"/>
    </row>
    <row r="83" spans="1:15" ht="14.25">
      <c r="A83" s="2"/>
      <c r="B83" s="2"/>
      <c r="C83" s="2"/>
      <c r="D83" s="2"/>
      <c r="E83" s="2"/>
      <c r="F83" s="2"/>
      <c r="G83" s="2"/>
      <c r="H83" s="2"/>
      <c r="I83" s="2"/>
      <c r="J83" s="2"/>
      <c r="K83" s="2"/>
      <c r="L83" s="2"/>
      <c r="M83" s="2"/>
      <c r="N83" s="2"/>
      <c r="O83" s="2"/>
    </row>
    <row r="84" spans="1:15" ht="14.25">
      <c r="A84" s="2" t="s">
        <v>50</v>
      </c>
      <c r="B84" s="2"/>
      <c r="C84" s="2"/>
      <c r="D84" s="2"/>
      <c r="E84" s="2"/>
      <c r="F84" s="2"/>
      <c r="G84" s="2"/>
      <c r="H84" s="2"/>
      <c r="I84" s="2"/>
      <c r="J84" s="2"/>
      <c r="K84" s="2"/>
      <c r="L84" s="2"/>
      <c r="M84" s="2"/>
      <c r="N84" s="2"/>
      <c r="O84" s="2"/>
    </row>
    <row r="85" spans="1:15" ht="14.25">
      <c r="A85" s="2"/>
      <c r="B85" s="2"/>
      <c r="C85" s="2"/>
      <c r="D85" s="2"/>
      <c r="E85" s="2"/>
      <c r="F85" s="2"/>
      <c r="G85" s="2"/>
      <c r="H85" s="2"/>
      <c r="I85" s="2"/>
      <c r="J85" s="2"/>
      <c r="K85" s="2"/>
      <c r="L85" s="2"/>
      <c r="M85" s="2"/>
      <c r="N85" s="2"/>
      <c r="O85" s="2"/>
    </row>
    <row r="86" spans="1:15" ht="14.25">
      <c r="A86" s="97" t="s">
        <v>51</v>
      </c>
      <c r="B86" s="95"/>
      <c r="C86" s="95"/>
      <c r="D86" s="95"/>
      <c r="E86" s="2"/>
      <c r="F86" s="2"/>
      <c r="G86" s="2"/>
      <c r="H86" s="2"/>
      <c r="I86" s="2"/>
      <c r="J86" s="2"/>
      <c r="K86" s="2"/>
      <c r="L86" s="2"/>
      <c r="M86" s="2"/>
      <c r="N86" s="2"/>
      <c r="O86" s="2"/>
    </row>
    <row r="87" spans="1:15" ht="14.25">
      <c r="A87" s="2"/>
      <c r="B87" s="2"/>
      <c r="C87" s="2"/>
      <c r="D87" s="2"/>
      <c r="E87" s="2"/>
      <c r="F87" s="2"/>
      <c r="G87" s="2"/>
      <c r="H87" s="2"/>
      <c r="I87" s="2"/>
      <c r="J87" s="2"/>
      <c r="K87" s="2"/>
      <c r="L87" s="2"/>
      <c r="M87" s="2"/>
      <c r="N87" s="2"/>
      <c r="O87" s="2"/>
    </row>
    <row r="88" spans="1:15" ht="14.25">
      <c r="A88" s="2" t="s">
        <v>52</v>
      </c>
      <c r="B88" s="2"/>
      <c r="C88" s="2"/>
      <c r="D88" s="2"/>
      <c r="E88" s="2"/>
      <c r="F88" s="2"/>
      <c r="G88" s="2"/>
      <c r="H88" s="2"/>
      <c r="I88" s="2"/>
      <c r="J88" s="2"/>
      <c r="K88" s="2"/>
      <c r="L88" s="2"/>
      <c r="M88" s="2"/>
      <c r="N88" s="2"/>
      <c r="O88" s="2"/>
    </row>
    <row r="89" spans="1:15" ht="14.25">
      <c r="A89" s="17"/>
      <c r="B89" s="2"/>
      <c r="C89" s="2"/>
      <c r="D89" s="2"/>
      <c r="E89" s="2"/>
      <c r="F89" s="2"/>
      <c r="G89" s="2"/>
      <c r="H89" s="2"/>
      <c r="I89" s="2"/>
      <c r="J89" s="2"/>
      <c r="K89" s="2"/>
      <c r="L89" s="2"/>
      <c r="M89" s="2"/>
      <c r="N89" s="2"/>
      <c r="O89" s="2"/>
    </row>
    <row r="90" spans="1:15" ht="14.25">
      <c r="A90" s="96" t="s">
        <v>53</v>
      </c>
      <c r="B90" s="95"/>
      <c r="C90" s="95"/>
      <c r="D90" s="2"/>
      <c r="E90" s="2"/>
      <c r="F90" s="2"/>
      <c r="G90" s="2"/>
      <c r="H90" s="2"/>
      <c r="I90" s="2"/>
      <c r="J90" s="2"/>
      <c r="K90" s="2"/>
      <c r="L90" s="2"/>
      <c r="M90" s="2"/>
      <c r="N90" s="2"/>
      <c r="O90" s="2"/>
    </row>
    <row r="91" spans="1:15" ht="14.25">
      <c r="A91" s="96" t="s">
        <v>54</v>
      </c>
      <c r="B91" s="95"/>
      <c r="C91" s="95"/>
      <c r="D91" s="2"/>
      <c r="E91" s="2"/>
      <c r="F91" s="2"/>
      <c r="G91" s="2"/>
      <c r="H91" s="2"/>
      <c r="I91" s="2"/>
      <c r="J91" s="2"/>
      <c r="K91" s="2"/>
      <c r="L91" s="2"/>
      <c r="M91" s="2"/>
      <c r="N91" s="2"/>
      <c r="O91" s="2"/>
    </row>
    <row r="92" spans="1:15" ht="14.25">
      <c r="A92" s="96" t="s">
        <v>55</v>
      </c>
      <c r="B92" s="95"/>
      <c r="C92" s="95"/>
      <c r="D92" s="95"/>
      <c r="E92" s="95"/>
      <c r="F92" s="95"/>
      <c r="G92" s="95"/>
      <c r="H92" s="2"/>
      <c r="I92" s="2"/>
      <c r="J92" s="2"/>
      <c r="K92" s="2"/>
      <c r="L92" s="2"/>
      <c r="M92" s="2"/>
      <c r="N92" s="2"/>
      <c r="O92" s="2"/>
    </row>
    <row r="93" spans="1:15" ht="14.25">
      <c r="A93" s="2"/>
      <c r="B93" s="2"/>
      <c r="C93" s="2"/>
      <c r="D93" s="2"/>
      <c r="E93" s="2"/>
      <c r="F93" s="2"/>
      <c r="G93" s="2"/>
      <c r="H93" s="2"/>
      <c r="I93" s="2"/>
      <c r="J93" s="2"/>
      <c r="K93" s="2"/>
      <c r="L93" s="2"/>
      <c r="M93" s="2"/>
      <c r="N93" s="2"/>
      <c r="O93" s="2"/>
    </row>
    <row r="94" spans="1:15" ht="14.25">
      <c r="A94" s="2"/>
      <c r="B94" s="2"/>
      <c r="C94" s="2"/>
      <c r="D94" s="2"/>
      <c r="E94" s="2"/>
      <c r="F94" s="2"/>
      <c r="G94" s="2"/>
      <c r="H94" s="2"/>
      <c r="I94" s="2"/>
      <c r="J94" s="2"/>
      <c r="K94" s="2"/>
      <c r="L94" s="2"/>
      <c r="M94" s="2"/>
      <c r="N94" s="2"/>
      <c r="O94" s="2"/>
    </row>
    <row r="95" spans="1:15" ht="14.25">
      <c r="A95" s="94" t="s">
        <v>56</v>
      </c>
      <c r="B95" s="95"/>
      <c r="C95" s="95"/>
      <c r="D95" s="95"/>
      <c r="E95" s="95"/>
      <c r="F95" s="95"/>
      <c r="G95" s="95"/>
      <c r="H95" s="95"/>
      <c r="I95" s="95"/>
      <c r="J95" s="2"/>
      <c r="K95" s="2"/>
      <c r="L95" s="2"/>
      <c r="M95" s="2"/>
      <c r="N95" s="2"/>
      <c r="O95" s="2"/>
    </row>
    <row r="96" spans="1:15" ht="14.25">
      <c r="A96" s="2"/>
      <c r="B96" s="2"/>
      <c r="C96" s="2"/>
      <c r="D96" s="2"/>
      <c r="E96" s="2"/>
      <c r="F96" s="2"/>
      <c r="G96" s="2"/>
      <c r="H96" s="2"/>
      <c r="I96" s="2"/>
      <c r="J96" s="2"/>
      <c r="K96" s="2"/>
      <c r="L96" s="2"/>
      <c r="M96" s="2"/>
      <c r="N96" s="2"/>
      <c r="O96" s="2"/>
    </row>
    <row r="97" spans="1:15" ht="14.25">
      <c r="A97" s="2" t="s">
        <v>57</v>
      </c>
      <c r="B97" s="2"/>
      <c r="C97" s="2"/>
      <c r="D97" s="2"/>
      <c r="E97" s="2"/>
      <c r="F97" s="2"/>
      <c r="G97" s="2"/>
      <c r="H97" s="2"/>
      <c r="I97" s="2"/>
      <c r="J97" s="2"/>
      <c r="K97" s="2"/>
      <c r="L97" s="2"/>
      <c r="M97" s="2"/>
      <c r="N97" s="2"/>
      <c r="O97" s="2"/>
    </row>
    <row r="98" spans="1:15" ht="14.25">
      <c r="A98" s="2"/>
      <c r="B98" s="2"/>
      <c r="C98" s="2"/>
      <c r="D98" s="2"/>
      <c r="E98" s="2"/>
      <c r="F98" s="2"/>
      <c r="G98" s="2"/>
      <c r="H98" s="2"/>
      <c r="I98" s="2"/>
      <c r="J98" s="2"/>
      <c r="K98" s="2"/>
      <c r="L98" s="2"/>
      <c r="M98" s="2"/>
      <c r="N98" s="2"/>
      <c r="O98" s="2"/>
    </row>
    <row r="99" spans="1:15" ht="14.25">
      <c r="A99" s="94" t="s">
        <v>58</v>
      </c>
      <c r="B99" s="95"/>
      <c r="C99" s="2"/>
      <c r="D99" s="2"/>
      <c r="E99" s="2"/>
      <c r="F99" s="2"/>
      <c r="G99" s="2"/>
      <c r="H99" s="2"/>
      <c r="I99" s="2"/>
      <c r="J99" s="2"/>
      <c r="K99" s="2"/>
      <c r="L99" s="2"/>
      <c r="M99" s="2"/>
      <c r="N99" s="2"/>
      <c r="O99" s="2"/>
    </row>
    <row r="100" spans="1:15" ht="14.25">
      <c r="A100" s="17"/>
      <c r="B100" s="2"/>
      <c r="C100" s="2"/>
      <c r="D100" s="2"/>
      <c r="E100" s="2"/>
      <c r="F100" s="2"/>
      <c r="G100" s="2"/>
      <c r="H100" s="2"/>
      <c r="I100" s="2"/>
      <c r="J100" s="2"/>
      <c r="K100" s="2"/>
      <c r="L100" s="2"/>
      <c r="M100" s="2"/>
      <c r="N100" s="2"/>
      <c r="O100" s="2"/>
    </row>
    <row r="101" spans="1:15" ht="12.75">
      <c r="A101" s="96" t="s">
        <v>59</v>
      </c>
      <c r="B101" s="95"/>
      <c r="C101" s="95"/>
      <c r="D101" s="95"/>
      <c r="E101" s="95"/>
      <c r="F101" s="95"/>
      <c r="G101" s="95"/>
      <c r="H101" s="95"/>
      <c r="I101" s="95"/>
      <c r="J101" s="95"/>
      <c r="K101" s="95"/>
      <c r="L101" s="95"/>
      <c r="M101" s="95"/>
      <c r="N101" s="95"/>
      <c r="O101" s="95"/>
    </row>
    <row r="102" spans="1:15" ht="14.25">
      <c r="A102" s="2"/>
      <c r="B102" s="2"/>
      <c r="C102" s="2"/>
      <c r="D102" s="2"/>
      <c r="E102" s="2"/>
      <c r="F102" s="2"/>
      <c r="G102" s="2"/>
      <c r="H102" s="2"/>
      <c r="I102" s="2"/>
      <c r="J102" s="2"/>
      <c r="K102" s="2"/>
      <c r="L102" s="2"/>
      <c r="M102" s="2"/>
      <c r="N102" s="2"/>
      <c r="O102" s="2"/>
    </row>
    <row r="103" spans="1:15" ht="14.25">
      <c r="A103" s="2" t="s">
        <v>60</v>
      </c>
      <c r="B103" s="2"/>
      <c r="C103" s="2"/>
      <c r="D103" s="2"/>
      <c r="E103" s="2"/>
      <c r="F103" s="2"/>
      <c r="G103" s="2"/>
      <c r="H103" s="2"/>
      <c r="I103" s="2"/>
      <c r="J103" s="2"/>
      <c r="K103" s="2"/>
      <c r="L103" s="2"/>
      <c r="M103" s="2"/>
      <c r="N103" s="2"/>
      <c r="O103" s="2"/>
    </row>
    <row r="104" spans="1:15" ht="14.25">
      <c r="A104" s="2"/>
      <c r="B104" s="2"/>
      <c r="C104" s="2"/>
      <c r="D104" s="2"/>
      <c r="E104" s="2"/>
      <c r="F104" s="2"/>
      <c r="G104" s="2"/>
      <c r="H104" s="2"/>
      <c r="I104" s="2"/>
      <c r="J104" s="2"/>
      <c r="K104" s="2"/>
      <c r="L104" s="2"/>
      <c r="M104" s="2"/>
      <c r="N104" s="2"/>
      <c r="O104" s="2"/>
    </row>
    <row r="105" spans="1:15" ht="14.25">
      <c r="A105" s="98" t="s">
        <v>61</v>
      </c>
      <c r="B105" s="95"/>
      <c r="C105" s="2"/>
      <c r="D105" s="2"/>
      <c r="E105" s="2"/>
      <c r="F105" s="2"/>
      <c r="G105" s="2"/>
      <c r="H105" s="2"/>
      <c r="I105" s="2"/>
      <c r="J105" s="2"/>
      <c r="K105" s="2"/>
      <c r="L105" s="2"/>
      <c r="M105" s="2"/>
      <c r="N105" s="2"/>
      <c r="O105" s="2"/>
    </row>
    <row r="106" spans="1:15" ht="14.25">
      <c r="A106" s="2"/>
      <c r="B106" s="2"/>
      <c r="C106" s="2"/>
      <c r="D106" s="2"/>
      <c r="E106" s="2"/>
      <c r="F106" s="2"/>
      <c r="G106" s="2"/>
      <c r="H106" s="2"/>
      <c r="I106" s="2"/>
      <c r="J106" s="2"/>
      <c r="K106" s="2"/>
      <c r="L106" s="2"/>
      <c r="M106" s="2"/>
      <c r="N106" s="2"/>
      <c r="O106" s="2"/>
    </row>
    <row r="107" spans="1:15" ht="14.25">
      <c r="A107" s="2" t="s">
        <v>62</v>
      </c>
      <c r="B107" s="2"/>
      <c r="C107" s="2"/>
      <c r="D107" s="2"/>
      <c r="E107" s="2"/>
      <c r="F107" s="2"/>
      <c r="G107" s="2"/>
      <c r="H107" s="2"/>
      <c r="I107" s="2"/>
      <c r="J107" s="2"/>
      <c r="K107" s="2"/>
      <c r="L107" s="2"/>
      <c r="M107" s="2"/>
      <c r="N107" s="2"/>
      <c r="O107" s="2"/>
    </row>
    <row r="108" spans="1:15" ht="14.25">
      <c r="A108" s="2"/>
      <c r="B108" s="2"/>
      <c r="C108" s="2"/>
      <c r="D108" s="2"/>
      <c r="E108" s="2"/>
      <c r="F108" s="2"/>
      <c r="G108" s="2"/>
      <c r="H108" s="2"/>
      <c r="I108" s="2"/>
      <c r="J108" s="2"/>
      <c r="K108" s="2"/>
      <c r="L108" s="2"/>
      <c r="M108" s="2"/>
      <c r="N108" s="2"/>
      <c r="O108" s="2"/>
    </row>
    <row r="109" spans="1:15" ht="14.25">
      <c r="A109" s="94" t="s">
        <v>63</v>
      </c>
      <c r="B109" s="95"/>
      <c r="C109" s="95"/>
      <c r="D109" s="2"/>
      <c r="E109" s="2"/>
      <c r="F109" s="2"/>
      <c r="G109" s="2"/>
      <c r="H109" s="2"/>
      <c r="I109" s="2"/>
      <c r="J109" s="2"/>
      <c r="K109" s="2"/>
      <c r="L109" s="2"/>
      <c r="M109" s="2"/>
      <c r="N109" s="2"/>
      <c r="O109" s="2"/>
    </row>
    <row r="110" spans="1:15" ht="14.25">
      <c r="A110" s="2"/>
      <c r="B110" s="2"/>
      <c r="C110" s="2"/>
      <c r="D110" s="2"/>
      <c r="E110" s="2"/>
      <c r="F110" s="2"/>
      <c r="G110" s="2"/>
      <c r="H110" s="2"/>
      <c r="I110" s="2"/>
      <c r="J110" s="2"/>
      <c r="K110" s="2"/>
      <c r="L110" s="2"/>
      <c r="M110" s="2"/>
      <c r="N110" s="2"/>
      <c r="O110" s="2"/>
    </row>
    <row r="111" spans="1:15" ht="14.25">
      <c r="A111" s="2" t="s">
        <v>64</v>
      </c>
      <c r="B111" s="2"/>
      <c r="C111" s="2"/>
      <c r="D111" s="2"/>
      <c r="E111" s="2"/>
      <c r="F111" s="2"/>
      <c r="G111" s="2"/>
      <c r="H111" s="2"/>
      <c r="I111" s="2"/>
      <c r="J111" s="2"/>
      <c r="K111" s="2"/>
      <c r="L111" s="2"/>
      <c r="M111" s="2"/>
      <c r="N111" s="2"/>
      <c r="O111" s="2"/>
    </row>
    <row r="112" spans="1:15" ht="14.25">
      <c r="A112" s="2"/>
      <c r="B112" s="2"/>
      <c r="C112" s="2"/>
      <c r="D112" s="2"/>
      <c r="E112" s="2"/>
      <c r="F112" s="2"/>
      <c r="G112" s="2"/>
      <c r="H112" s="2"/>
      <c r="I112" s="2"/>
      <c r="J112" s="2"/>
      <c r="K112" s="2"/>
      <c r="L112" s="2"/>
      <c r="M112" s="2"/>
      <c r="N112" s="2"/>
      <c r="O112" s="2"/>
    </row>
    <row r="113" spans="1:15" ht="14.25">
      <c r="A113" s="2" t="s">
        <v>65</v>
      </c>
      <c r="B113" s="2"/>
      <c r="C113" s="2"/>
      <c r="D113" s="2"/>
      <c r="E113" s="2"/>
      <c r="F113" s="2"/>
      <c r="G113" s="2"/>
      <c r="H113" s="2"/>
      <c r="I113" s="2"/>
      <c r="J113" s="2"/>
      <c r="K113" s="2"/>
      <c r="L113" s="2"/>
      <c r="M113" s="2"/>
      <c r="N113" s="2"/>
      <c r="O113" s="2"/>
    </row>
    <row r="114" spans="1:15" ht="14.25">
      <c r="A114" s="2"/>
      <c r="B114" s="2"/>
      <c r="C114" s="2"/>
      <c r="D114" s="2"/>
      <c r="E114" s="2"/>
      <c r="F114" s="2"/>
      <c r="G114" s="2"/>
      <c r="H114" s="2"/>
      <c r="I114" s="2"/>
      <c r="J114" s="2"/>
      <c r="K114" s="2"/>
      <c r="L114" s="2"/>
      <c r="M114" s="2"/>
      <c r="N114" s="2"/>
      <c r="O114" s="2"/>
    </row>
    <row r="115" spans="1:15" ht="14.25">
      <c r="A115" s="2" t="s">
        <v>66</v>
      </c>
      <c r="B115" s="2"/>
      <c r="C115" s="2"/>
      <c r="D115" s="2"/>
      <c r="E115" s="2"/>
      <c r="F115" s="2"/>
      <c r="G115" s="2"/>
      <c r="H115" s="2"/>
      <c r="I115" s="2"/>
      <c r="J115" s="2"/>
      <c r="K115" s="2"/>
      <c r="L115" s="2"/>
      <c r="M115" s="2"/>
      <c r="N115" s="2"/>
      <c r="O115" s="2"/>
    </row>
    <row r="116" spans="1:15" ht="14.25">
      <c r="A116" s="17"/>
      <c r="B116" s="2"/>
      <c r="C116" s="2"/>
      <c r="D116" s="2"/>
      <c r="E116" s="2"/>
      <c r="F116" s="2"/>
      <c r="G116" s="2"/>
      <c r="H116" s="2"/>
      <c r="I116" s="2"/>
      <c r="J116" s="2"/>
      <c r="K116" s="2"/>
      <c r="L116" s="2"/>
      <c r="M116" s="2"/>
      <c r="N116" s="2"/>
      <c r="O116" s="2"/>
    </row>
    <row r="117" spans="1:15" ht="14.25">
      <c r="A117" s="99" t="s">
        <v>67</v>
      </c>
      <c r="B117" s="95"/>
      <c r="C117" s="95"/>
      <c r="D117" s="2"/>
      <c r="E117" s="2"/>
      <c r="F117" s="2"/>
      <c r="G117" s="2"/>
      <c r="H117" s="2"/>
      <c r="I117" s="2"/>
      <c r="J117" s="2"/>
      <c r="K117" s="2"/>
      <c r="L117" s="2"/>
      <c r="M117" s="2"/>
      <c r="N117" s="2"/>
      <c r="O117" s="2"/>
    </row>
    <row r="118" spans="1:15" ht="14.25">
      <c r="A118" s="99" t="s">
        <v>68</v>
      </c>
      <c r="B118" s="95"/>
      <c r="C118" s="95"/>
      <c r="D118" s="95"/>
      <c r="E118" s="95"/>
      <c r="F118" s="95"/>
      <c r="G118" s="95"/>
      <c r="H118" s="2"/>
      <c r="I118" s="2"/>
      <c r="J118" s="2"/>
      <c r="K118" s="2"/>
      <c r="L118" s="2"/>
      <c r="M118" s="2"/>
      <c r="N118" s="2"/>
      <c r="O118" s="2"/>
    </row>
    <row r="119" spans="1:15" ht="14.25">
      <c r="A119" s="99" t="s">
        <v>69</v>
      </c>
      <c r="B119" s="95"/>
      <c r="C119" s="95"/>
      <c r="D119" s="95"/>
      <c r="E119" s="95"/>
      <c r="F119" s="2"/>
      <c r="G119" s="2"/>
      <c r="H119" s="2"/>
      <c r="I119" s="2"/>
      <c r="J119" s="2"/>
      <c r="K119" s="2"/>
      <c r="L119" s="2"/>
      <c r="M119" s="2"/>
      <c r="N119" s="2"/>
      <c r="O119" s="2"/>
    </row>
    <row r="120" spans="1:15" ht="14.25">
      <c r="A120" s="2"/>
      <c r="B120" s="2"/>
      <c r="C120" s="2"/>
      <c r="D120" s="2"/>
      <c r="E120" s="2"/>
      <c r="F120" s="2"/>
      <c r="G120" s="2"/>
      <c r="H120" s="2"/>
      <c r="I120" s="2"/>
      <c r="J120" s="2"/>
      <c r="K120" s="2"/>
      <c r="L120" s="2"/>
      <c r="M120" s="2"/>
      <c r="N120" s="2"/>
      <c r="O120" s="2"/>
    </row>
    <row r="121" spans="1:15" ht="14.25">
      <c r="A121" s="2"/>
      <c r="B121" s="2"/>
      <c r="C121" s="2"/>
      <c r="D121" s="2"/>
      <c r="E121" s="2"/>
      <c r="F121" s="2"/>
      <c r="G121" s="2"/>
      <c r="H121" s="2"/>
      <c r="I121" s="2"/>
      <c r="J121" s="2"/>
      <c r="K121" s="2"/>
      <c r="L121" s="2"/>
      <c r="M121" s="2"/>
      <c r="N121" s="2"/>
      <c r="O121" s="2"/>
    </row>
  </sheetData>
  <mergeCells count="47">
    <mergeCell ref="A2:F2"/>
    <mergeCell ref="A3:G3"/>
    <mergeCell ref="A4:J4"/>
    <mergeCell ref="B6:D6"/>
    <mergeCell ref="A7:G7"/>
    <mergeCell ref="A9:F9"/>
    <mergeCell ref="A13:J13"/>
    <mergeCell ref="A11:C11"/>
    <mergeCell ref="A15:C15"/>
    <mergeCell ref="A16:B16"/>
    <mergeCell ref="A19:B19"/>
    <mergeCell ref="A20:E20"/>
    <mergeCell ref="A21:F21"/>
    <mergeCell ref="A25:J25"/>
    <mergeCell ref="A26:D26"/>
    <mergeCell ref="A27:D27"/>
    <mergeCell ref="A30:C30"/>
    <mergeCell ref="A31:C31"/>
    <mergeCell ref="A32:C32"/>
    <mergeCell ref="A33:C33"/>
    <mergeCell ref="A34:B34"/>
    <mergeCell ref="A35:C35"/>
    <mergeCell ref="A36:B36"/>
    <mergeCell ref="A52:E52"/>
    <mergeCell ref="A54:E54"/>
    <mergeCell ref="A56:F56"/>
    <mergeCell ref="A62:B62"/>
    <mergeCell ref="A67:C67"/>
    <mergeCell ref="A70:B70"/>
    <mergeCell ref="A71:D71"/>
    <mergeCell ref="A72:C72"/>
    <mergeCell ref="A73:C73"/>
    <mergeCell ref="A74:C74"/>
    <mergeCell ref="A77:D77"/>
    <mergeCell ref="A82:O82"/>
    <mergeCell ref="A105:B105"/>
    <mergeCell ref="A109:C109"/>
    <mergeCell ref="A117:C117"/>
    <mergeCell ref="A118:G118"/>
    <mergeCell ref="A119:E119"/>
    <mergeCell ref="A99:B99"/>
    <mergeCell ref="A101:O101"/>
    <mergeCell ref="A86:D86"/>
    <mergeCell ref="A90:C90"/>
    <mergeCell ref="A91:C91"/>
    <mergeCell ref="A92:G92"/>
    <mergeCell ref="A95:I95"/>
  </mergeCells>
  <pageMargins left="0.7" right="0.7" top="0.75" bottom="0.75" header="0.3" footer="0.3"/>
</worksheet>
</file>

<file path=xl/worksheets/sheet3.xml><?xml version="1.0" encoding="utf-8"?>
<worksheet xmlns="http://schemas.openxmlformats.org/spreadsheetml/2006/main" xmlns:r="http://schemas.openxmlformats.org/officeDocument/2006/relationships">
  <sheetPr>
    <outlinePr summaryBelow="0" summaryRight="0"/>
  </sheetPr>
  <dimension ref="A1:P25"/>
  <sheetViews>
    <sheetView workbookViewId="0">
      <selection activeCell="E12" sqref="E12"/>
    </sheetView>
  </sheetViews>
  <sheetFormatPr defaultColWidth="12.7109375" defaultRowHeight="15.75" customHeight="1"/>
  <cols>
    <col min="5" max="5" width="23.28515625" customWidth="1"/>
  </cols>
  <sheetData>
    <row r="1" spans="1:16" ht="14.25">
      <c r="A1" s="1" t="s">
        <v>70</v>
      </c>
      <c r="B1" s="2"/>
      <c r="C1" s="2"/>
      <c r="D1" s="2"/>
      <c r="E1" s="2"/>
      <c r="F1" s="2"/>
      <c r="G1" s="2"/>
      <c r="H1" s="2"/>
      <c r="I1" s="2"/>
      <c r="J1" s="2"/>
      <c r="K1" s="2"/>
      <c r="L1" s="2"/>
      <c r="M1" s="2"/>
      <c r="N1" s="2"/>
      <c r="O1" s="2"/>
      <c r="P1" s="2"/>
    </row>
    <row r="2" spans="1:16" ht="14.25">
      <c r="A2" s="94" t="s">
        <v>71</v>
      </c>
      <c r="B2" s="95"/>
      <c r="C2" s="95"/>
      <c r="D2" s="95"/>
      <c r="E2" s="95"/>
      <c r="F2" s="95"/>
      <c r="G2" s="2"/>
      <c r="H2" s="2"/>
      <c r="I2" s="2"/>
      <c r="J2" s="2"/>
      <c r="K2" s="2"/>
      <c r="L2" s="2"/>
      <c r="M2" s="2"/>
      <c r="N2" s="2"/>
      <c r="O2" s="2"/>
      <c r="P2" s="2"/>
    </row>
    <row r="3" spans="1:16" ht="14.25">
      <c r="A3" s="2"/>
      <c r="B3" s="2"/>
      <c r="C3" s="2"/>
      <c r="D3" s="2"/>
      <c r="E3" s="2"/>
      <c r="F3" s="2"/>
      <c r="G3" s="2"/>
      <c r="H3" s="2"/>
      <c r="I3" s="2"/>
      <c r="J3" s="2"/>
      <c r="K3" s="2"/>
      <c r="L3" s="2"/>
      <c r="M3" s="2"/>
      <c r="N3" s="2"/>
      <c r="O3" s="2"/>
      <c r="P3" s="2"/>
    </row>
    <row r="4" spans="1:16" ht="14.25">
      <c r="A4" s="2" t="s">
        <v>72</v>
      </c>
      <c r="B4" s="2"/>
      <c r="C4" s="2"/>
      <c r="D4" s="2"/>
      <c r="E4" s="2"/>
      <c r="F4" s="2"/>
      <c r="G4" s="2"/>
      <c r="H4" s="2"/>
      <c r="I4" s="2"/>
      <c r="J4" s="2"/>
      <c r="K4" s="2"/>
      <c r="L4" s="2"/>
      <c r="M4" s="2"/>
      <c r="N4" s="2"/>
      <c r="O4" s="2"/>
      <c r="P4" s="2"/>
    </row>
    <row r="5" spans="1:16" ht="14.25">
      <c r="A5" s="94" t="s">
        <v>73</v>
      </c>
      <c r="B5" s="95"/>
      <c r="C5" s="2"/>
      <c r="D5" s="2"/>
      <c r="E5" s="2"/>
      <c r="F5" s="2"/>
      <c r="G5" s="2"/>
      <c r="H5" s="2"/>
      <c r="I5" s="2"/>
      <c r="J5" s="2"/>
      <c r="K5" s="2"/>
      <c r="L5" s="2"/>
      <c r="M5" s="2"/>
      <c r="N5" s="2"/>
      <c r="O5" s="2"/>
      <c r="P5" s="2"/>
    </row>
    <row r="6" spans="1:16" ht="14.25">
      <c r="A6" s="94" t="s">
        <v>74</v>
      </c>
      <c r="B6" s="95"/>
      <c r="C6" s="95"/>
      <c r="D6" s="2"/>
      <c r="E6" s="2"/>
      <c r="F6" s="2"/>
      <c r="G6" s="2"/>
      <c r="H6" s="2"/>
      <c r="I6" s="2"/>
      <c r="J6" s="2"/>
      <c r="K6" s="2"/>
      <c r="L6" s="2"/>
      <c r="M6" s="2"/>
      <c r="N6" s="2"/>
      <c r="O6" s="2"/>
      <c r="P6" s="2"/>
    </row>
    <row r="7" spans="1:16" ht="14.25">
      <c r="A7" s="94" t="s">
        <v>75</v>
      </c>
      <c r="B7" s="95"/>
      <c r="C7" s="2"/>
      <c r="D7" s="2"/>
      <c r="E7" s="2"/>
      <c r="F7" s="2"/>
      <c r="G7" s="2"/>
      <c r="H7" s="2"/>
      <c r="I7" s="2"/>
      <c r="J7" s="2"/>
      <c r="K7" s="2"/>
      <c r="L7" s="2"/>
      <c r="M7" s="2"/>
      <c r="N7" s="2"/>
      <c r="O7" s="2"/>
      <c r="P7" s="2"/>
    </row>
    <row r="8" spans="1:16" ht="14.25">
      <c r="A8" s="2"/>
      <c r="B8" s="2"/>
      <c r="C8" s="2"/>
      <c r="D8" s="2"/>
      <c r="E8" s="2"/>
      <c r="F8" s="2"/>
      <c r="G8" s="2"/>
      <c r="H8" s="2"/>
      <c r="I8" s="2"/>
      <c r="J8" s="2"/>
      <c r="K8" s="2"/>
      <c r="L8" s="2"/>
      <c r="M8" s="2"/>
      <c r="N8" s="2"/>
      <c r="O8" s="2"/>
      <c r="P8" s="2"/>
    </row>
    <row r="9" spans="1:16" ht="14.25">
      <c r="A9" s="94" t="s">
        <v>76</v>
      </c>
      <c r="B9" s="95"/>
      <c r="C9" s="95"/>
      <c r="D9" s="95"/>
      <c r="E9" s="95"/>
      <c r="F9" s="95"/>
      <c r="G9" s="95"/>
      <c r="H9" s="95"/>
      <c r="I9" s="95"/>
      <c r="J9" s="95"/>
      <c r="K9" s="95"/>
      <c r="L9" s="95"/>
      <c r="M9" s="95"/>
      <c r="N9" s="95"/>
      <c r="O9" s="95"/>
      <c r="P9" s="95"/>
    </row>
    <row r="10" spans="1:16" ht="14.25">
      <c r="A10" s="2" t="s">
        <v>4</v>
      </c>
      <c r="B10" s="2"/>
      <c r="C10" s="2"/>
      <c r="D10" s="2"/>
      <c r="E10" s="2"/>
      <c r="F10" s="2"/>
      <c r="G10" s="2"/>
      <c r="H10" s="2"/>
      <c r="I10" s="2"/>
      <c r="J10" s="2"/>
      <c r="K10" s="2"/>
      <c r="L10" s="2"/>
      <c r="M10" s="2"/>
      <c r="N10" s="2"/>
      <c r="O10" s="2"/>
      <c r="P10" s="2"/>
    </row>
    <row r="11" spans="1:16" ht="14.25">
      <c r="A11" s="19">
        <v>43200.41</v>
      </c>
      <c r="B11" s="2"/>
      <c r="C11" s="2"/>
      <c r="D11" s="2"/>
      <c r="E11" s="2"/>
      <c r="F11" s="2"/>
      <c r="G11" s="2"/>
      <c r="H11" s="2"/>
      <c r="I11" s="2"/>
      <c r="J11" s="2"/>
      <c r="K11" s="2"/>
      <c r="L11" s="2"/>
      <c r="M11" s="2"/>
      <c r="N11" s="2"/>
      <c r="O11" s="2"/>
      <c r="P11" s="2"/>
    </row>
    <row r="12" spans="1:16" ht="14.25">
      <c r="A12" s="94" t="s">
        <v>77</v>
      </c>
      <c r="B12" s="95"/>
      <c r="C12" s="95"/>
      <c r="D12" s="95"/>
      <c r="E12" s="20">
        <v>43200.406944444447</v>
      </c>
      <c r="F12" s="2"/>
      <c r="G12" s="2"/>
      <c r="H12" s="2"/>
      <c r="I12" s="2"/>
      <c r="J12" s="2"/>
      <c r="K12" s="2"/>
      <c r="L12" s="2"/>
      <c r="M12" s="2"/>
      <c r="N12" s="2"/>
      <c r="O12" s="2"/>
      <c r="P12" s="2"/>
    </row>
    <row r="13" spans="1:16" ht="14.25">
      <c r="A13" s="2"/>
      <c r="B13" s="2"/>
      <c r="C13" s="2"/>
      <c r="D13" s="2"/>
      <c r="E13" s="2"/>
      <c r="F13" s="2"/>
      <c r="G13" s="2"/>
      <c r="H13" s="2"/>
      <c r="I13" s="2"/>
      <c r="J13" s="2"/>
      <c r="K13" s="2"/>
      <c r="L13" s="2"/>
      <c r="M13" s="2"/>
      <c r="N13" s="2"/>
      <c r="O13" s="2"/>
      <c r="P13" s="2"/>
    </row>
    <row r="14" spans="1:16" ht="14.25">
      <c r="A14" s="2"/>
      <c r="B14" s="2"/>
      <c r="C14" s="2"/>
      <c r="D14" s="2"/>
      <c r="E14" s="2"/>
      <c r="F14" s="2"/>
      <c r="G14" s="2"/>
      <c r="H14" s="2"/>
      <c r="I14" s="2"/>
      <c r="J14" s="2"/>
      <c r="K14" s="2"/>
      <c r="L14" s="2"/>
      <c r="M14" s="2"/>
      <c r="N14" s="2"/>
      <c r="O14" s="2"/>
      <c r="P14" s="2"/>
    </row>
    <row r="15" spans="1:16" ht="14.25">
      <c r="A15" s="2"/>
      <c r="B15" s="2"/>
      <c r="C15" s="2"/>
      <c r="D15" s="2"/>
      <c r="E15" s="2"/>
      <c r="F15" s="2"/>
      <c r="G15" s="2"/>
      <c r="H15" s="2"/>
      <c r="I15" s="2"/>
      <c r="J15" s="2"/>
      <c r="K15" s="2"/>
      <c r="L15" s="2"/>
      <c r="M15" s="2"/>
      <c r="N15" s="2"/>
      <c r="O15" s="2"/>
      <c r="P15" s="2"/>
    </row>
    <row r="16" spans="1:16" ht="14.25">
      <c r="A16" s="103" t="s">
        <v>78</v>
      </c>
      <c r="B16" s="95"/>
      <c r="C16" s="95"/>
      <c r="D16" s="95"/>
      <c r="E16" s="2"/>
      <c r="F16" s="2"/>
      <c r="G16" s="2"/>
      <c r="H16" s="2"/>
      <c r="I16" s="2"/>
      <c r="J16" s="2"/>
      <c r="K16" s="2"/>
      <c r="L16" s="2"/>
      <c r="M16" s="2"/>
      <c r="N16" s="2"/>
      <c r="O16" s="2"/>
      <c r="P16" s="2"/>
    </row>
    <row r="17" spans="1:16" ht="14.25">
      <c r="A17" s="94" t="s">
        <v>79</v>
      </c>
      <c r="B17" s="95"/>
      <c r="C17" s="95"/>
      <c r="D17" s="95"/>
      <c r="E17" s="2"/>
      <c r="F17" s="2"/>
      <c r="G17" s="2"/>
      <c r="H17" s="2"/>
      <c r="I17" s="2"/>
      <c r="J17" s="2"/>
      <c r="K17" s="2"/>
      <c r="L17" s="2"/>
      <c r="M17" s="2"/>
      <c r="N17" s="2"/>
      <c r="O17" s="2"/>
      <c r="P17" s="2"/>
    </row>
    <row r="18" spans="1:16" ht="14.25">
      <c r="A18" s="94" t="s">
        <v>80</v>
      </c>
      <c r="B18" s="95"/>
      <c r="C18" s="95"/>
      <c r="D18" s="95"/>
      <c r="E18" s="95"/>
      <c r="F18" s="95"/>
      <c r="G18" s="95"/>
      <c r="H18" s="95"/>
      <c r="I18" s="95"/>
      <c r="J18" s="95"/>
      <c r="K18" s="95"/>
      <c r="L18" s="95"/>
      <c r="M18" s="95"/>
      <c r="N18" s="2"/>
      <c r="O18" s="2"/>
      <c r="P18" s="2"/>
    </row>
    <row r="19" spans="1:16" ht="14.25">
      <c r="A19" s="3"/>
      <c r="B19" s="2"/>
      <c r="C19" s="2"/>
      <c r="D19" s="2"/>
      <c r="E19" s="2"/>
      <c r="F19" s="2"/>
      <c r="G19" s="2"/>
      <c r="H19" s="2"/>
      <c r="I19" s="2"/>
      <c r="J19" s="2"/>
      <c r="K19" s="2"/>
      <c r="L19" s="2"/>
      <c r="M19" s="2"/>
      <c r="N19" s="2"/>
      <c r="O19" s="2"/>
      <c r="P19" s="2"/>
    </row>
    <row r="20" spans="1:16" ht="14.25">
      <c r="A20" s="1" t="s">
        <v>81</v>
      </c>
      <c r="B20" s="2"/>
      <c r="C20" s="2"/>
      <c r="D20" s="2"/>
      <c r="E20" s="2"/>
      <c r="F20" s="2"/>
      <c r="G20" s="2"/>
      <c r="H20" s="2"/>
      <c r="I20" s="2"/>
      <c r="J20" s="2"/>
      <c r="K20" s="2"/>
      <c r="L20" s="2"/>
      <c r="M20" s="2"/>
      <c r="N20" s="2"/>
      <c r="O20" s="2"/>
      <c r="P20" s="2"/>
    </row>
    <row r="21" spans="1:16" ht="14.25">
      <c r="A21" s="94" t="s">
        <v>82</v>
      </c>
      <c r="B21" s="95"/>
      <c r="C21" s="95"/>
      <c r="D21" s="95"/>
      <c r="E21" s="95"/>
      <c r="F21" s="2"/>
      <c r="G21" s="2"/>
      <c r="H21" s="2"/>
      <c r="I21" s="2"/>
      <c r="J21" s="2"/>
      <c r="K21" s="2"/>
      <c r="L21" s="2"/>
      <c r="M21" s="2"/>
      <c r="N21" s="2"/>
      <c r="O21" s="2"/>
      <c r="P21" s="2"/>
    </row>
    <row r="22" spans="1:16" ht="14.25">
      <c r="A22" s="94" t="s">
        <v>83</v>
      </c>
      <c r="B22" s="95"/>
      <c r="C22" s="95"/>
      <c r="D22" s="95"/>
      <c r="E22" s="95"/>
      <c r="F22" s="95"/>
      <c r="G22" s="95"/>
      <c r="H22" s="95"/>
      <c r="I22" s="95"/>
      <c r="J22" s="95"/>
      <c r="K22" s="95"/>
      <c r="L22" s="95"/>
      <c r="M22" s="95"/>
      <c r="N22" s="2"/>
      <c r="O22" s="2"/>
      <c r="P22" s="2"/>
    </row>
    <row r="23" spans="1:16" ht="14.25">
      <c r="A23" s="3" t="s">
        <v>12</v>
      </c>
      <c r="B23" s="2"/>
      <c r="C23" s="2"/>
      <c r="D23" s="2"/>
      <c r="E23" s="2"/>
      <c r="F23" s="2"/>
      <c r="G23" s="2"/>
      <c r="H23" s="2"/>
      <c r="I23" s="2"/>
      <c r="J23" s="2"/>
      <c r="K23" s="2"/>
      <c r="L23" s="2"/>
      <c r="M23" s="2"/>
      <c r="N23" s="2"/>
      <c r="O23" s="2"/>
      <c r="P23" s="2"/>
    </row>
    <row r="24" spans="1:16" ht="14.25">
      <c r="A24" s="7" t="s">
        <v>84</v>
      </c>
      <c r="B24" s="2"/>
      <c r="C24" s="2"/>
      <c r="D24" s="2"/>
      <c r="E24" s="2"/>
      <c r="F24" s="2"/>
      <c r="G24" s="2"/>
      <c r="H24" s="2"/>
      <c r="I24" s="2"/>
      <c r="J24" s="2"/>
      <c r="K24" s="2"/>
      <c r="L24" s="2"/>
      <c r="M24" s="2"/>
      <c r="N24" s="2"/>
      <c r="O24" s="2"/>
      <c r="P24" s="2"/>
    </row>
    <row r="25" spans="1:16" ht="15.75" customHeight="1">
      <c r="A25" s="13"/>
      <c r="B25" s="13"/>
      <c r="C25" s="13"/>
      <c r="D25" s="13"/>
      <c r="E25" s="13"/>
      <c r="F25" s="13"/>
      <c r="G25" s="13"/>
      <c r="H25" s="13"/>
      <c r="I25" s="13"/>
      <c r="J25" s="13"/>
      <c r="K25" s="13"/>
      <c r="L25" s="13"/>
      <c r="M25" s="13"/>
      <c r="N25" s="13"/>
      <c r="O25" s="13"/>
      <c r="P25" s="13"/>
    </row>
  </sheetData>
  <mergeCells count="11">
    <mergeCell ref="A17:D17"/>
    <mergeCell ref="A18:M18"/>
    <mergeCell ref="A21:E21"/>
    <mergeCell ref="A22:M22"/>
    <mergeCell ref="A2:F2"/>
    <mergeCell ref="A5:B5"/>
    <mergeCell ref="A6:C6"/>
    <mergeCell ref="A7:B7"/>
    <mergeCell ref="A9:P9"/>
    <mergeCell ref="A12:D12"/>
    <mergeCell ref="A16:D16"/>
  </mergeCells>
  <pageMargins left="0.7" right="0.7" top="0.75" bottom="0.75" header="0.3" footer="0.3"/>
</worksheet>
</file>

<file path=xl/worksheets/sheet4.xml><?xml version="1.0" encoding="utf-8"?>
<worksheet xmlns="http://schemas.openxmlformats.org/spreadsheetml/2006/main" xmlns:r="http://schemas.openxmlformats.org/officeDocument/2006/relationships">
  <sheetPr>
    <outlinePr summaryBelow="0" summaryRight="0"/>
  </sheetPr>
  <dimension ref="A1:R17"/>
  <sheetViews>
    <sheetView workbookViewId="0">
      <selection activeCell="C10" sqref="C10"/>
    </sheetView>
  </sheetViews>
  <sheetFormatPr defaultColWidth="12.7109375" defaultRowHeight="15.75" customHeight="1"/>
  <cols>
    <col min="2" max="2" width="45.28515625" customWidth="1"/>
    <col min="3" max="3" width="17.7109375" customWidth="1"/>
  </cols>
  <sheetData>
    <row r="1" spans="1:18" ht="15.75" customHeight="1">
      <c r="A1" s="104" t="s">
        <v>85</v>
      </c>
      <c r="B1" s="95"/>
      <c r="C1" s="95"/>
      <c r="D1" s="13"/>
      <c r="E1" s="13"/>
      <c r="F1" s="13"/>
      <c r="G1" s="13"/>
      <c r="H1" s="13"/>
      <c r="I1" s="13"/>
      <c r="J1" s="13"/>
      <c r="K1" s="13"/>
      <c r="L1" s="13"/>
      <c r="M1" s="13"/>
      <c r="N1" s="13"/>
      <c r="O1" s="13"/>
      <c r="P1" s="13"/>
      <c r="Q1" s="13"/>
      <c r="R1" s="13"/>
    </row>
    <row r="2" spans="1:18" ht="15.75" customHeight="1">
      <c r="A2" s="13"/>
      <c r="B2" s="13"/>
      <c r="C2" s="13"/>
      <c r="D2" s="13"/>
      <c r="E2" s="13"/>
      <c r="F2" s="13"/>
      <c r="G2" s="13"/>
      <c r="H2" s="13"/>
      <c r="I2" s="13"/>
      <c r="J2" s="13"/>
      <c r="K2" s="13"/>
      <c r="L2" s="13"/>
      <c r="M2" s="13"/>
      <c r="N2" s="13"/>
      <c r="O2" s="13"/>
      <c r="P2" s="13"/>
      <c r="Q2" s="13"/>
      <c r="R2" s="13"/>
    </row>
    <row r="3" spans="1:18" ht="15.75" customHeight="1">
      <c r="A3" s="94" t="s">
        <v>86</v>
      </c>
      <c r="B3" s="95"/>
      <c r="C3" s="95"/>
      <c r="D3" s="95"/>
      <c r="E3" s="95"/>
      <c r="F3" s="95"/>
      <c r="G3" s="95"/>
      <c r="H3" s="95"/>
      <c r="I3" s="95"/>
      <c r="J3" s="95"/>
      <c r="K3" s="95"/>
      <c r="L3" s="95"/>
      <c r="M3" s="95"/>
      <c r="N3" s="95"/>
      <c r="O3" s="95"/>
      <c r="P3" s="95"/>
      <c r="Q3" s="95"/>
      <c r="R3" s="13"/>
    </row>
    <row r="4" spans="1:18" ht="15.75" customHeight="1">
      <c r="A4" s="94" t="s">
        <v>87</v>
      </c>
      <c r="B4" s="95"/>
      <c r="C4" s="95"/>
      <c r="D4" s="95"/>
      <c r="E4" s="95"/>
      <c r="F4" s="95"/>
      <c r="G4" s="95"/>
      <c r="H4" s="95"/>
      <c r="I4" s="95"/>
      <c r="J4" s="95"/>
      <c r="K4" s="13"/>
      <c r="L4" s="13"/>
      <c r="M4" s="13"/>
      <c r="N4" s="13"/>
      <c r="O4" s="13"/>
      <c r="P4" s="13"/>
      <c r="Q4" s="13"/>
      <c r="R4" s="13"/>
    </row>
    <row r="5" spans="1:18" ht="15.75" customHeight="1">
      <c r="A5" s="13"/>
      <c r="B5" s="13"/>
      <c r="C5" s="13"/>
      <c r="D5" s="13"/>
      <c r="E5" s="13"/>
      <c r="F5" s="13"/>
      <c r="G5" s="13"/>
      <c r="H5" s="13"/>
      <c r="I5" s="13"/>
      <c r="J5" s="13"/>
      <c r="K5" s="13"/>
      <c r="L5" s="13"/>
      <c r="M5" s="13"/>
      <c r="N5" s="13"/>
      <c r="O5" s="13"/>
      <c r="P5" s="13"/>
      <c r="Q5" s="13"/>
      <c r="R5" s="13"/>
    </row>
    <row r="6" spans="1:18" ht="15.75" customHeight="1">
      <c r="A6" s="94" t="s">
        <v>88</v>
      </c>
      <c r="B6" s="95"/>
      <c r="C6" s="95"/>
      <c r="D6" s="95"/>
      <c r="E6" s="95"/>
      <c r="F6" s="95"/>
      <c r="G6" s="95"/>
      <c r="H6" s="95"/>
      <c r="I6" s="95"/>
      <c r="J6" s="95"/>
      <c r="K6" s="95"/>
      <c r="L6" s="95"/>
      <c r="M6" s="13"/>
      <c r="N6" s="13"/>
      <c r="O6" s="13"/>
      <c r="P6" s="13"/>
      <c r="Q6" s="13"/>
      <c r="R6" s="13"/>
    </row>
    <row r="7" spans="1:18" ht="15.75" customHeight="1">
      <c r="A7" s="13"/>
      <c r="B7" s="13"/>
      <c r="C7" s="13"/>
      <c r="D7" s="13"/>
      <c r="E7" s="13"/>
      <c r="F7" s="13"/>
      <c r="G7" s="13"/>
      <c r="H7" s="13"/>
      <c r="I7" s="13"/>
      <c r="J7" s="13"/>
      <c r="K7" s="13"/>
      <c r="L7" s="13"/>
      <c r="M7" s="13"/>
      <c r="N7" s="13"/>
      <c r="O7" s="13"/>
      <c r="P7" s="13"/>
      <c r="Q7" s="13"/>
      <c r="R7" s="13"/>
    </row>
    <row r="8" spans="1:18" ht="15.75" customHeight="1">
      <c r="A8" s="21" t="s">
        <v>89</v>
      </c>
      <c r="B8" s="13"/>
      <c r="C8" s="13"/>
      <c r="D8" s="13"/>
      <c r="E8" s="13"/>
      <c r="F8" s="13"/>
      <c r="G8" s="13"/>
      <c r="H8" s="13"/>
      <c r="I8" s="13"/>
      <c r="J8" s="13"/>
      <c r="K8" s="13"/>
      <c r="L8" s="13"/>
      <c r="M8" s="13"/>
      <c r="N8" s="13"/>
      <c r="O8" s="13"/>
      <c r="P8" s="13"/>
      <c r="Q8" s="13"/>
      <c r="R8" s="13"/>
    </row>
    <row r="9" spans="1:18" ht="15.75" customHeight="1">
      <c r="B9" s="13"/>
      <c r="C9" s="13"/>
      <c r="D9" s="13"/>
      <c r="E9" s="13"/>
      <c r="F9" s="13"/>
      <c r="G9" s="13"/>
      <c r="H9" s="13"/>
      <c r="I9" s="13"/>
      <c r="J9" s="13"/>
      <c r="K9" s="13"/>
      <c r="L9" s="13"/>
      <c r="M9" s="13"/>
      <c r="N9" s="13"/>
      <c r="O9" s="13"/>
      <c r="P9" s="13"/>
      <c r="Q9" s="13"/>
      <c r="R9" s="13"/>
    </row>
    <row r="10" spans="1:18" ht="15.75" customHeight="1">
      <c r="A10" s="22" t="s">
        <v>90</v>
      </c>
      <c r="B10" s="22" t="s">
        <v>91</v>
      </c>
      <c r="C10" s="22" t="s">
        <v>4</v>
      </c>
      <c r="D10" s="13"/>
      <c r="E10" s="13"/>
      <c r="F10" s="13"/>
      <c r="G10" s="13"/>
      <c r="H10" s="13"/>
      <c r="I10" s="13"/>
      <c r="J10" s="13"/>
      <c r="K10" s="13"/>
      <c r="L10" s="13"/>
      <c r="M10" s="13"/>
      <c r="N10" s="13"/>
      <c r="O10" s="13"/>
      <c r="P10" s="13"/>
      <c r="Q10" s="13"/>
      <c r="R10" s="13"/>
    </row>
    <row r="11" spans="1:18" ht="12.75">
      <c r="A11" s="23" t="s">
        <v>92</v>
      </c>
      <c r="B11" s="21" t="s">
        <v>93</v>
      </c>
      <c r="C11" s="23" t="s">
        <v>94</v>
      </c>
    </row>
    <row r="12" spans="1:18" ht="12.75">
      <c r="A12" s="23" t="s">
        <v>95</v>
      </c>
      <c r="B12" s="21" t="s">
        <v>96</v>
      </c>
      <c r="C12" s="23" t="b">
        <f>AND(A1&gt;50, B1="Yes")</f>
        <v>0</v>
      </c>
    </row>
    <row r="13" spans="1:18" ht="12.75">
      <c r="A13" s="23" t="s">
        <v>97</v>
      </c>
      <c r="B13" s="21" t="s">
        <v>98</v>
      </c>
      <c r="C13" s="23" t="b">
        <f>OR(A1&gt;50, B1="Yes")</f>
        <v>1</v>
      </c>
    </row>
    <row r="14" spans="1:18" ht="12.75">
      <c r="A14" s="23" t="s">
        <v>99</v>
      </c>
      <c r="B14" s="21" t="s">
        <v>100</v>
      </c>
      <c r="C14" s="23" t="b">
        <f>NOT(A1&gt;50)</f>
        <v>0</v>
      </c>
    </row>
    <row r="15" spans="1:18" ht="12.75">
      <c r="A15" s="23" t="s">
        <v>101</v>
      </c>
      <c r="B15" s="21" t="s">
        <v>102</v>
      </c>
      <c r="C15" s="23" t="str">
        <f>IFERROR(A1/B1, "Error")</f>
        <v>Error</v>
      </c>
    </row>
    <row r="16" spans="1:18" ht="12.75">
      <c r="A16" s="24" t="s">
        <v>103</v>
      </c>
      <c r="B16" s="25" t="s">
        <v>104</v>
      </c>
      <c r="C16" s="24" t="e">
        <f ca="1">IFS(A1&gt;90,"A",A1&gt;80,"B",A1&gt;70,"C")</f>
        <v>#NAME?</v>
      </c>
    </row>
    <row r="17" spans="1:3" ht="12.75">
      <c r="A17" s="25"/>
      <c r="B17" s="25"/>
      <c r="C17" s="25"/>
    </row>
  </sheetData>
  <mergeCells count="4">
    <mergeCell ref="A1:C1"/>
    <mergeCell ref="A3:Q3"/>
    <mergeCell ref="A4:J4"/>
    <mergeCell ref="A6:L6"/>
  </mergeCells>
  <pageMargins left="0.7" right="0.7" top="0.75" bottom="0.75" header="0.3" footer="0.3"/>
</worksheet>
</file>

<file path=xl/worksheets/sheet5.xml><?xml version="1.0" encoding="utf-8"?>
<worksheet xmlns="http://schemas.openxmlformats.org/spreadsheetml/2006/main" xmlns:r="http://schemas.openxmlformats.org/officeDocument/2006/relationships">
  <sheetPr>
    <outlinePr summaryBelow="0" summaryRight="0"/>
  </sheetPr>
  <dimension ref="A1:V22"/>
  <sheetViews>
    <sheetView topLeftCell="J1" workbookViewId="0">
      <selection activeCell="T11" sqref="T11"/>
    </sheetView>
  </sheetViews>
  <sheetFormatPr defaultColWidth="12.7109375" defaultRowHeight="15.75" customHeight="1"/>
  <cols>
    <col min="3" max="4" width="14.85546875" bestFit="1" customWidth="1"/>
    <col min="7" max="7" width="15.7109375" customWidth="1"/>
    <col min="8" max="8" width="14.42578125" customWidth="1"/>
    <col min="9" max="9" width="16.28515625" customWidth="1"/>
    <col min="13" max="13" width="14.5703125" customWidth="1"/>
    <col min="18" max="18" width="13.85546875" customWidth="1"/>
  </cols>
  <sheetData>
    <row r="1" spans="1:22" ht="15.75" customHeight="1">
      <c r="A1" s="26" t="s">
        <v>95</v>
      </c>
      <c r="B1" s="27"/>
      <c r="C1" s="27"/>
      <c r="D1" s="27"/>
      <c r="E1" s="27"/>
      <c r="F1" s="27"/>
      <c r="G1" s="27"/>
      <c r="H1" s="27"/>
      <c r="I1" s="27"/>
      <c r="J1" s="27"/>
      <c r="K1" s="27"/>
      <c r="L1" s="27"/>
      <c r="M1" s="27"/>
      <c r="N1" s="27"/>
      <c r="O1" s="27"/>
      <c r="P1" s="27"/>
      <c r="Q1" s="27"/>
      <c r="R1" s="27"/>
      <c r="S1" s="27"/>
      <c r="T1" s="27"/>
      <c r="U1" s="27"/>
      <c r="V1" s="27"/>
    </row>
    <row r="2" spans="1:22" ht="15.75" customHeight="1">
      <c r="A2" s="106" t="s">
        <v>105</v>
      </c>
      <c r="B2" s="95"/>
      <c r="C2" s="95"/>
      <c r="D2" s="95"/>
      <c r="E2" s="95"/>
      <c r="F2" s="95"/>
      <c r="G2" s="95"/>
      <c r="H2" s="95"/>
      <c r="I2" s="95"/>
      <c r="J2" s="27"/>
      <c r="K2" s="27"/>
      <c r="L2" s="27"/>
      <c r="M2" s="27"/>
      <c r="N2" s="27"/>
      <c r="O2" s="27"/>
      <c r="P2" s="27"/>
      <c r="Q2" s="27"/>
      <c r="R2" s="27"/>
      <c r="S2" s="27"/>
      <c r="T2" s="27"/>
      <c r="U2" s="27"/>
      <c r="V2" s="27"/>
    </row>
    <row r="3" spans="1:22" ht="15.75" customHeight="1">
      <c r="A3" s="106" t="s">
        <v>106</v>
      </c>
      <c r="B3" s="95"/>
      <c r="C3" s="95"/>
      <c r="D3" s="95"/>
      <c r="E3" s="95"/>
      <c r="F3" s="95"/>
      <c r="G3" s="95"/>
      <c r="H3" s="95"/>
      <c r="I3" s="95"/>
      <c r="J3" s="95"/>
      <c r="K3" s="95"/>
      <c r="L3" s="27"/>
      <c r="M3" s="27"/>
      <c r="N3" s="27"/>
      <c r="O3" s="27"/>
      <c r="P3" s="27"/>
      <c r="Q3" s="27"/>
      <c r="R3" s="27"/>
      <c r="S3" s="27"/>
      <c r="T3" s="27"/>
      <c r="U3" s="27"/>
      <c r="V3" s="27"/>
    </row>
    <row r="4" spans="1:22" ht="15.75" customHeight="1">
      <c r="A4" s="27"/>
      <c r="B4" s="27"/>
      <c r="C4" s="27"/>
      <c r="D4" s="27"/>
      <c r="E4" s="27"/>
      <c r="F4" s="27"/>
      <c r="G4" s="27"/>
      <c r="H4" s="27"/>
      <c r="I4" s="27"/>
      <c r="J4" s="27"/>
      <c r="K4" s="27"/>
      <c r="L4" s="27"/>
      <c r="M4" s="27"/>
      <c r="N4" s="27"/>
      <c r="O4" s="27"/>
      <c r="P4" s="27"/>
      <c r="Q4" s="27"/>
      <c r="R4" s="27"/>
      <c r="S4" s="27"/>
      <c r="T4" s="27"/>
      <c r="U4" s="27"/>
      <c r="V4" s="27"/>
    </row>
    <row r="5" spans="1:22" ht="15.75" customHeight="1">
      <c r="A5" s="105" t="s">
        <v>107</v>
      </c>
      <c r="B5" s="95"/>
      <c r="C5" s="27"/>
      <c r="D5" s="27"/>
      <c r="E5" s="27"/>
      <c r="F5" s="27"/>
      <c r="G5" s="27"/>
      <c r="H5" s="27"/>
      <c r="I5" s="27"/>
      <c r="J5" s="27"/>
      <c r="K5" s="27"/>
      <c r="L5" s="27"/>
      <c r="M5" s="27"/>
      <c r="N5" s="27"/>
      <c r="O5" s="27"/>
      <c r="P5" s="27"/>
      <c r="Q5" s="27"/>
      <c r="R5" s="27"/>
      <c r="S5" s="27"/>
      <c r="T5" s="27"/>
      <c r="U5" s="27"/>
      <c r="V5" s="27"/>
    </row>
    <row r="6" spans="1:22" ht="15.75" customHeight="1">
      <c r="A6" s="106" t="s">
        <v>108</v>
      </c>
      <c r="B6" s="95"/>
      <c r="C6" s="95"/>
      <c r="D6" s="27"/>
      <c r="E6" s="27"/>
      <c r="F6" s="27"/>
      <c r="G6" s="27"/>
      <c r="H6" s="27"/>
      <c r="I6" s="27"/>
      <c r="J6" s="27"/>
      <c r="K6" s="27"/>
      <c r="L6" s="27"/>
      <c r="M6" s="27"/>
      <c r="N6" s="27"/>
      <c r="O6" s="27"/>
      <c r="P6" s="27"/>
      <c r="Q6" s="27"/>
      <c r="R6" s="27"/>
      <c r="S6" s="27"/>
      <c r="T6" s="27"/>
      <c r="U6" s="27"/>
      <c r="V6" s="27"/>
    </row>
    <row r="7" spans="1:22" ht="15.75" customHeight="1">
      <c r="A7" s="107" t="s">
        <v>109</v>
      </c>
      <c r="B7" s="95"/>
      <c r="C7" s="95"/>
      <c r="D7" s="95"/>
      <c r="E7" s="95"/>
      <c r="F7" s="95"/>
      <c r="G7" s="95"/>
      <c r="H7" s="95"/>
      <c r="I7" s="27"/>
      <c r="J7" s="27"/>
      <c r="K7" s="27"/>
      <c r="L7" s="27"/>
      <c r="M7" s="27"/>
      <c r="N7" s="27"/>
      <c r="O7" s="27"/>
      <c r="P7" s="27"/>
      <c r="Q7" s="27"/>
      <c r="R7" s="27"/>
      <c r="S7" s="27"/>
      <c r="T7" s="27"/>
      <c r="U7" s="27"/>
      <c r="V7" s="27"/>
    </row>
    <row r="8" spans="1:22" ht="15.75" customHeight="1">
      <c r="A8" s="27"/>
      <c r="B8" s="27"/>
      <c r="C8" s="27"/>
      <c r="D8" s="27"/>
      <c r="E8" s="27"/>
      <c r="F8" s="27"/>
      <c r="G8" s="27"/>
      <c r="H8" s="27"/>
      <c r="I8" s="27"/>
      <c r="J8" s="27"/>
      <c r="K8" s="27"/>
      <c r="L8" s="27"/>
      <c r="M8" s="27"/>
      <c r="N8" s="27"/>
      <c r="O8" s="27"/>
      <c r="P8" s="27"/>
      <c r="Q8" s="27"/>
      <c r="R8" s="27"/>
      <c r="S8" s="27"/>
      <c r="T8" s="27"/>
      <c r="U8" s="27"/>
      <c r="V8" s="27"/>
    </row>
    <row r="9" spans="1:22" ht="15.75" customHeight="1">
      <c r="A9" s="27" t="s">
        <v>110</v>
      </c>
      <c r="B9" s="27"/>
      <c r="C9" s="27"/>
      <c r="D9" s="27"/>
      <c r="E9" s="27"/>
      <c r="F9" s="27"/>
      <c r="G9" s="27"/>
      <c r="H9" s="27"/>
      <c r="I9" s="27"/>
      <c r="J9" s="27"/>
      <c r="K9" s="27"/>
      <c r="L9" s="27"/>
      <c r="M9" s="27"/>
      <c r="N9" s="27"/>
      <c r="O9" s="27"/>
      <c r="P9" s="27"/>
      <c r="Q9" s="27"/>
      <c r="R9" s="27"/>
      <c r="S9" s="27"/>
      <c r="T9" s="27"/>
      <c r="U9" s="27"/>
      <c r="V9" s="27"/>
    </row>
    <row r="10" spans="1:22" ht="15.75" customHeight="1">
      <c r="A10" s="29" t="s">
        <v>27</v>
      </c>
      <c r="B10" s="29" t="s">
        <v>28</v>
      </c>
      <c r="C10" s="29" t="s">
        <v>29</v>
      </c>
      <c r="D10" s="29" t="s">
        <v>30</v>
      </c>
      <c r="E10" s="29" t="s">
        <v>111</v>
      </c>
      <c r="F10" s="29" t="s">
        <v>112</v>
      </c>
      <c r="G10" s="29" t="s">
        <v>113</v>
      </c>
      <c r="H10" s="29" t="s">
        <v>114</v>
      </c>
      <c r="I10" s="29" t="s">
        <v>115</v>
      </c>
      <c r="J10" s="29" t="s">
        <v>116</v>
      </c>
      <c r="K10" s="29" t="s">
        <v>117</v>
      </c>
      <c r="L10" s="29" t="s">
        <v>118</v>
      </c>
      <c r="M10" s="29" t="s">
        <v>119</v>
      </c>
      <c r="N10" s="29" t="s">
        <v>120</v>
      </c>
      <c r="O10" s="29" t="s">
        <v>121</v>
      </c>
      <c r="P10" s="29" t="s">
        <v>122</v>
      </c>
      <c r="Q10" s="29" t="s">
        <v>123</v>
      </c>
      <c r="R10" s="29" t="s">
        <v>124</v>
      </c>
      <c r="S10" s="30" t="s">
        <v>125</v>
      </c>
      <c r="T10" s="30" t="s">
        <v>126</v>
      </c>
      <c r="U10" s="31"/>
      <c r="V10" s="32"/>
    </row>
    <row r="11" spans="1:22" ht="15.75" customHeight="1">
      <c r="A11" s="33">
        <v>457</v>
      </c>
      <c r="B11" s="34" t="s">
        <v>127</v>
      </c>
      <c r="C11" s="35">
        <v>41682</v>
      </c>
      <c r="D11" s="35">
        <v>41688</v>
      </c>
      <c r="E11" s="34" t="s">
        <v>128</v>
      </c>
      <c r="F11" s="34" t="s">
        <v>129</v>
      </c>
      <c r="G11" s="34" t="s">
        <v>130</v>
      </c>
      <c r="H11" s="34" t="s">
        <v>131</v>
      </c>
      <c r="I11" s="34" t="s">
        <v>132</v>
      </c>
      <c r="J11" s="34" t="s">
        <v>133</v>
      </c>
      <c r="K11" s="34" t="s">
        <v>134</v>
      </c>
      <c r="L11" s="33">
        <v>94521</v>
      </c>
      <c r="M11" s="34" t="s">
        <v>135</v>
      </c>
      <c r="N11" s="33">
        <v>129.6</v>
      </c>
      <c r="O11" s="33">
        <v>2</v>
      </c>
      <c r="P11" s="33">
        <v>0.2</v>
      </c>
      <c r="Q11" s="33">
        <v>24.29</v>
      </c>
      <c r="R11" s="33">
        <v>153.86000000000001</v>
      </c>
      <c r="S11" s="36" t="b">
        <f>AND(M11="office supplies",E11="first class")</f>
        <v>0</v>
      </c>
      <c r="T11" s="36" t="b">
        <f>AND(H11="consumer",M11="office supplies")</f>
        <v>0</v>
      </c>
      <c r="U11" s="37"/>
      <c r="V11" s="27"/>
    </row>
    <row r="12" spans="1:22" ht="15.75" customHeight="1">
      <c r="A12" s="33">
        <v>202</v>
      </c>
      <c r="B12" s="34" t="s">
        <v>136</v>
      </c>
      <c r="C12" s="35">
        <v>41854</v>
      </c>
      <c r="D12" s="35">
        <v>41856</v>
      </c>
      <c r="E12" s="34" t="s">
        <v>137</v>
      </c>
      <c r="F12" s="34" t="s">
        <v>138</v>
      </c>
      <c r="G12" s="34" t="s">
        <v>139</v>
      </c>
      <c r="H12" s="34" t="s">
        <v>131</v>
      </c>
      <c r="I12" s="34" t="s">
        <v>132</v>
      </c>
      <c r="J12" s="34" t="s">
        <v>140</v>
      </c>
      <c r="K12" s="34" t="s">
        <v>141</v>
      </c>
      <c r="L12" s="33">
        <v>80219</v>
      </c>
      <c r="M12" s="34" t="s">
        <v>135</v>
      </c>
      <c r="N12" s="33">
        <v>218.8</v>
      </c>
      <c r="O12" s="33">
        <v>2</v>
      </c>
      <c r="P12" s="33">
        <v>0.5</v>
      </c>
      <c r="Q12" s="33">
        <v>161.88</v>
      </c>
      <c r="R12" s="33">
        <v>380.63</v>
      </c>
      <c r="S12" s="36" t="b">
        <f t="shared" ref="S12:S17" si="0">AND(M12="office supplies",E12="first class")</f>
        <v>0</v>
      </c>
      <c r="T12" s="36" t="b">
        <f t="shared" ref="T12:T17" si="1">AND(H12="consumer",M12="office supplies")</f>
        <v>0</v>
      </c>
      <c r="U12" s="37"/>
      <c r="V12" s="27"/>
    </row>
    <row r="13" spans="1:22" ht="15.75" customHeight="1">
      <c r="A13" s="33">
        <v>114</v>
      </c>
      <c r="B13" s="34" t="s">
        <v>142</v>
      </c>
      <c r="C13" s="35">
        <v>41876</v>
      </c>
      <c r="D13" s="35">
        <v>41878</v>
      </c>
      <c r="E13" s="34" t="s">
        <v>143</v>
      </c>
      <c r="F13" s="34" t="s">
        <v>144</v>
      </c>
      <c r="G13" s="34" t="s">
        <v>145</v>
      </c>
      <c r="H13" s="34" t="s">
        <v>131</v>
      </c>
      <c r="I13" s="34" t="s">
        <v>132</v>
      </c>
      <c r="J13" s="34" t="s">
        <v>146</v>
      </c>
      <c r="K13" s="34" t="s">
        <v>147</v>
      </c>
      <c r="L13" s="33">
        <v>43229</v>
      </c>
      <c r="M13" s="34" t="s">
        <v>148</v>
      </c>
      <c r="N13" s="33">
        <v>40.1</v>
      </c>
      <c r="O13" s="33">
        <v>14</v>
      </c>
      <c r="P13" s="33">
        <v>0.2</v>
      </c>
      <c r="Q13" s="33">
        <v>14.53</v>
      </c>
      <c r="R13" s="33">
        <v>25.56</v>
      </c>
      <c r="S13" s="36" t="b">
        <f t="shared" si="0"/>
        <v>0</v>
      </c>
      <c r="T13" s="36" t="b">
        <f t="shared" si="1"/>
        <v>1</v>
      </c>
      <c r="U13" s="37"/>
      <c r="V13" s="27"/>
    </row>
    <row r="14" spans="1:22" ht="15.75" customHeight="1">
      <c r="A14" s="33">
        <v>115</v>
      </c>
      <c r="B14" s="34" t="s">
        <v>142</v>
      </c>
      <c r="C14" s="35">
        <v>41876</v>
      </c>
      <c r="D14" s="35">
        <v>41878</v>
      </c>
      <c r="E14" s="34" t="s">
        <v>137</v>
      </c>
      <c r="F14" s="34" t="s">
        <v>144</v>
      </c>
      <c r="G14" s="34" t="s">
        <v>145</v>
      </c>
      <c r="H14" s="34" t="s">
        <v>131</v>
      </c>
      <c r="I14" s="34" t="s">
        <v>132</v>
      </c>
      <c r="J14" s="34" t="s">
        <v>146</v>
      </c>
      <c r="K14" s="34" t="s">
        <v>147</v>
      </c>
      <c r="L14" s="33">
        <v>43229</v>
      </c>
      <c r="M14" s="34" t="s">
        <v>148</v>
      </c>
      <c r="N14" s="33">
        <v>4.72</v>
      </c>
      <c r="O14" s="33">
        <v>2</v>
      </c>
      <c r="P14" s="33">
        <v>0.2</v>
      </c>
      <c r="Q14" s="33">
        <v>1.65</v>
      </c>
      <c r="R14" s="33">
        <v>3.07</v>
      </c>
      <c r="S14" s="36" t="b">
        <f t="shared" si="0"/>
        <v>1</v>
      </c>
      <c r="T14" s="36" t="b">
        <f t="shared" si="1"/>
        <v>1</v>
      </c>
      <c r="U14" s="37"/>
      <c r="V14" s="27"/>
    </row>
    <row r="15" spans="1:22" ht="15.75" customHeight="1">
      <c r="A15" s="33">
        <v>116</v>
      </c>
      <c r="B15" s="34" t="s">
        <v>142</v>
      </c>
      <c r="C15" s="35">
        <v>41876</v>
      </c>
      <c r="D15" s="35">
        <v>41878</v>
      </c>
      <c r="E15" s="34" t="s">
        <v>143</v>
      </c>
      <c r="F15" s="34" t="s">
        <v>144</v>
      </c>
      <c r="G15" s="34" t="s">
        <v>145</v>
      </c>
      <c r="H15" s="34" t="s">
        <v>131</v>
      </c>
      <c r="I15" s="34" t="s">
        <v>132</v>
      </c>
      <c r="J15" s="34" t="s">
        <v>146</v>
      </c>
      <c r="K15" s="34" t="s">
        <v>147</v>
      </c>
      <c r="L15" s="33">
        <v>43229</v>
      </c>
      <c r="M15" s="34" t="s">
        <v>148</v>
      </c>
      <c r="N15" s="33">
        <v>23.98</v>
      </c>
      <c r="O15" s="33">
        <v>3</v>
      </c>
      <c r="P15" s="33">
        <v>0.2</v>
      </c>
      <c r="Q15" s="33">
        <v>7.49</v>
      </c>
      <c r="R15" s="33">
        <v>16.48</v>
      </c>
      <c r="S15" s="36" t="b">
        <f t="shared" si="0"/>
        <v>0</v>
      </c>
      <c r="T15" s="36" t="b">
        <f t="shared" si="1"/>
        <v>1</v>
      </c>
      <c r="U15" s="37"/>
      <c r="V15" s="27"/>
    </row>
    <row r="16" spans="1:22" ht="15.75" customHeight="1">
      <c r="A16" s="33">
        <v>117</v>
      </c>
      <c r="B16" s="34" t="s">
        <v>142</v>
      </c>
      <c r="C16" s="35">
        <v>41876</v>
      </c>
      <c r="D16" s="35">
        <v>41878</v>
      </c>
      <c r="E16" s="34" t="s">
        <v>137</v>
      </c>
      <c r="F16" s="34" t="s">
        <v>144</v>
      </c>
      <c r="G16" s="34" t="s">
        <v>145</v>
      </c>
      <c r="H16" s="34" t="s">
        <v>131</v>
      </c>
      <c r="I16" s="34" t="s">
        <v>132</v>
      </c>
      <c r="J16" s="34" t="s">
        <v>146</v>
      </c>
      <c r="K16" s="34" t="s">
        <v>147</v>
      </c>
      <c r="L16" s="33">
        <v>43229</v>
      </c>
      <c r="M16" s="34" t="s">
        <v>148</v>
      </c>
      <c r="N16" s="33">
        <v>130.5</v>
      </c>
      <c r="O16" s="33">
        <v>6</v>
      </c>
      <c r="P16" s="33">
        <v>0.2</v>
      </c>
      <c r="Q16" s="33">
        <v>44.03</v>
      </c>
      <c r="R16" s="33">
        <v>86.43</v>
      </c>
      <c r="S16" s="36" t="b">
        <f t="shared" si="0"/>
        <v>1</v>
      </c>
      <c r="T16" s="36" t="b">
        <f t="shared" si="1"/>
        <v>1</v>
      </c>
      <c r="U16" s="37"/>
      <c r="V16" s="27"/>
    </row>
    <row r="17" spans="1:22" ht="15.75" customHeight="1">
      <c r="A17" s="33">
        <v>231</v>
      </c>
      <c r="B17" s="34" t="s">
        <v>149</v>
      </c>
      <c r="C17" s="35">
        <v>41895</v>
      </c>
      <c r="D17" s="35">
        <v>41899</v>
      </c>
      <c r="E17" s="34" t="s">
        <v>128</v>
      </c>
      <c r="F17" s="34" t="s">
        <v>150</v>
      </c>
      <c r="G17" s="34" t="s">
        <v>151</v>
      </c>
      <c r="H17" s="34" t="s">
        <v>152</v>
      </c>
      <c r="I17" s="34" t="s">
        <v>132</v>
      </c>
      <c r="J17" s="34" t="s">
        <v>153</v>
      </c>
      <c r="K17" s="34" t="s">
        <v>154</v>
      </c>
      <c r="L17" s="33">
        <v>28205</v>
      </c>
      <c r="M17" s="34" t="s">
        <v>148</v>
      </c>
      <c r="N17" s="33">
        <v>18.649999999999999</v>
      </c>
      <c r="O17" s="33">
        <v>7</v>
      </c>
      <c r="P17" s="33">
        <v>0.7</v>
      </c>
      <c r="Q17" s="33">
        <v>12.43</v>
      </c>
      <c r="R17" s="33">
        <v>31.08</v>
      </c>
      <c r="S17" s="36" t="b">
        <f t="shared" si="0"/>
        <v>0</v>
      </c>
      <c r="T17" s="36" t="b">
        <f t="shared" si="1"/>
        <v>0</v>
      </c>
      <c r="U17" s="37"/>
      <c r="V17" s="27"/>
    </row>
    <row r="18" spans="1:22" ht="15.75" customHeight="1">
      <c r="A18" s="27"/>
      <c r="B18" s="27"/>
      <c r="C18" s="27"/>
      <c r="D18" s="27"/>
      <c r="E18" s="27"/>
      <c r="F18" s="27"/>
      <c r="G18" s="27"/>
      <c r="H18" s="27"/>
      <c r="I18" s="27"/>
      <c r="J18" s="27"/>
      <c r="K18" s="27"/>
      <c r="L18" s="27"/>
      <c r="M18" s="27"/>
      <c r="N18" s="27"/>
      <c r="O18" s="27"/>
      <c r="P18" s="27"/>
      <c r="Q18" s="27"/>
      <c r="R18" s="27"/>
      <c r="S18" s="27"/>
      <c r="T18" s="27"/>
      <c r="U18" s="27"/>
      <c r="V18" s="27"/>
    </row>
    <row r="19" spans="1:22" ht="15.75" customHeight="1">
      <c r="A19" s="105" t="s">
        <v>155</v>
      </c>
      <c r="B19" s="95"/>
      <c r="C19" s="95"/>
      <c r="D19" s="95"/>
      <c r="E19" s="95"/>
      <c r="F19" s="95"/>
      <c r="G19" s="95"/>
      <c r="H19" s="27"/>
      <c r="I19" s="27"/>
      <c r="J19" s="27"/>
      <c r="K19" s="27"/>
      <c r="L19" s="27"/>
      <c r="M19" s="27"/>
      <c r="N19" s="27"/>
      <c r="O19" s="27"/>
      <c r="P19" s="27"/>
      <c r="Q19" s="27"/>
      <c r="R19" s="27"/>
      <c r="S19" s="27"/>
      <c r="T19" s="27"/>
      <c r="U19" s="27"/>
      <c r="V19" s="27"/>
    </row>
    <row r="20" spans="1:22" ht="15.75" customHeight="1">
      <c r="A20" s="27"/>
      <c r="B20" s="27"/>
      <c r="C20" s="27"/>
      <c r="D20" s="27"/>
      <c r="E20" s="27"/>
      <c r="F20" s="27"/>
      <c r="G20" s="27"/>
      <c r="H20" s="27"/>
      <c r="I20" s="27"/>
      <c r="J20" s="27"/>
      <c r="K20" s="27"/>
      <c r="L20" s="27"/>
      <c r="M20" s="27"/>
      <c r="N20" s="27"/>
      <c r="O20" s="27"/>
      <c r="P20" s="27"/>
      <c r="Q20" s="27"/>
      <c r="R20" s="27"/>
      <c r="S20" s="27"/>
      <c r="T20" s="27"/>
      <c r="U20" s="27"/>
      <c r="V20" s="27"/>
    </row>
    <row r="21" spans="1:22" ht="15.75" customHeight="1">
      <c r="A21" s="105" t="s">
        <v>156</v>
      </c>
      <c r="B21" s="95"/>
      <c r="C21" s="95"/>
      <c r="D21" s="95"/>
      <c r="E21" s="95"/>
      <c r="F21" s="95"/>
      <c r="G21" s="95"/>
      <c r="H21" s="27"/>
      <c r="I21" s="27"/>
      <c r="J21" s="27"/>
      <c r="K21" s="27"/>
      <c r="L21" s="27"/>
      <c r="M21" s="27"/>
      <c r="N21" s="27"/>
      <c r="O21" s="27"/>
      <c r="P21" s="27"/>
      <c r="Q21" s="27"/>
      <c r="R21" s="27"/>
      <c r="S21" s="27"/>
      <c r="T21" s="27"/>
      <c r="U21" s="27"/>
      <c r="V21" s="27"/>
    </row>
    <row r="22" spans="1:22" ht="15.75" customHeight="1">
      <c r="A22" s="27"/>
      <c r="B22" s="27"/>
      <c r="C22" s="27"/>
      <c r="D22" s="27"/>
      <c r="E22" s="27"/>
      <c r="F22" s="27"/>
      <c r="G22" s="27"/>
      <c r="H22" s="27"/>
      <c r="I22" s="27"/>
      <c r="J22" s="27"/>
      <c r="K22" s="27"/>
      <c r="L22" s="27"/>
      <c r="M22" s="27"/>
      <c r="N22" s="27"/>
      <c r="O22" s="27"/>
      <c r="P22" s="27"/>
      <c r="Q22" s="27"/>
      <c r="R22" s="27"/>
      <c r="S22" s="27"/>
      <c r="T22" s="27"/>
      <c r="U22" s="27"/>
      <c r="V22" s="27"/>
    </row>
  </sheetData>
  <mergeCells count="7">
    <mergeCell ref="A19:G19"/>
    <mergeCell ref="A21:G21"/>
    <mergeCell ref="A2:I2"/>
    <mergeCell ref="A3:K3"/>
    <mergeCell ref="A5:B5"/>
    <mergeCell ref="A6:C6"/>
    <mergeCell ref="A7:H7"/>
  </mergeCells>
  <pageMargins left="0.7" right="0.7" top="0.75" bottom="0.75" header="0.3" footer="0.3"/>
</worksheet>
</file>

<file path=xl/worksheets/sheet6.xml><?xml version="1.0" encoding="utf-8"?>
<worksheet xmlns="http://schemas.openxmlformats.org/spreadsheetml/2006/main" xmlns:r="http://schemas.openxmlformats.org/officeDocument/2006/relationships">
  <sheetPr>
    <outlinePr summaryBelow="0" summaryRight="0"/>
  </sheetPr>
  <dimension ref="A1:U24"/>
  <sheetViews>
    <sheetView topLeftCell="A2" workbookViewId="0">
      <selection activeCell="T9" sqref="T9"/>
    </sheetView>
  </sheetViews>
  <sheetFormatPr defaultColWidth="12.7109375" defaultRowHeight="15.75" customHeight="1"/>
  <cols>
    <col min="3" max="3" width="15.5703125" bestFit="1" customWidth="1"/>
    <col min="4" max="4" width="14.85546875" bestFit="1" customWidth="1"/>
  </cols>
  <sheetData>
    <row r="1" spans="1:21" ht="15.75" customHeight="1">
      <c r="A1" s="105" t="s">
        <v>107</v>
      </c>
      <c r="B1" s="95"/>
      <c r="C1" s="27"/>
      <c r="D1" s="27"/>
      <c r="E1" s="27"/>
      <c r="F1" s="27"/>
      <c r="G1" s="27"/>
      <c r="H1" s="27"/>
      <c r="I1" s="27"/>
      <c r="J1" s="27"/>
      <c r="K1" s="27"/>
      <c r="L1" s="27"/>
      <c r="M1" s="27"/>
      <c r="N1" s="27"/>
      <c r="O1" s="27"/>
      <c r="P1" s="27"/>
      <c r="Q1" s="27"/>
      <c r="R1" s="27"/>
      <c r="S1" s="27"/>
      <c r="T1" s="27"/>
      <c r="U1" s="27"/>
    </row>
    <row r="2" spans="1:21" ht="15.75" customHeight="1">
      <c r="A2" s="106" t="s">
        <v>157</v>
      </c>
      <c r="B2" s="95"/>
      <c r="C2" s="95"/>
      <c r="D2" s="27"/>
      <c r="E2" s="27"/>
      <c r="F2" s="27"/>
      <c r="G2" s="27"/>
      <c r="H2" s="27"/>
      <c r="I2" s="27"/>
      <c r="J2" s="27"/>
      <c r="K2" s="27"/>
      <c r="L2" s="27"/>
      <c r="M2" s="27"/>
      <c r="N2" s="27"/>
      <c r="O2" s="27"/>
      <c r="P2" s="27"/>
      <c r="Q2" s="27"/>
      <c r="R2" s="27"/>
      <c r="S2" s="27"/>
      <c r="T2" s="27"/>
      <c r="U2" s="27"/>
    </row>
    <row r="3" spans="1:21" ht="15.75" customHeight="1">
      <c r="A3" s="27"/>
      <c r="B3" s="27"/>
      <c r="C3" s="27"/>
      <c r="D3" s="27"/>
      <c r="E3" s="27"/>
      <c r="F3" s="27"/>
      <c r="G3" s="27"/>
      <c r="H3" s="27"/>
      <c r="I3" s="27"/>
      <c r="J3" s="27"/>
      <c r="K3" s="27"/>
      <c r="L3" s="27"/>
      <c r="M3" s="27"/>
      <c r="N3" s="27"/>
      <c r="O3" s="27"/>
      <c r="P3" s="27"/>
      <c r="Q3" s="27"/>
      <c r="R3" s="27"/>
      <c r="S3" s="27"/>
      <c r="T3" s="27"/>
      <c r="U3" s="27"/>
    </row>
    <row r="4" spans="1:21" ht="15.75" customHeight="1">
      <c r="A4" s="28" t="s">
        <v>158</v>
      </c>
      <c r="B4" s="108" t="s">
        <v>159</v>
      </c>
      <c r="C4" s="95"/>
      <c r="D4" s="95"/>
      <c r="E4" s="95"/>
      <c r="F4" s="95"/>
      <c r="G4" s="95"/>
      <c r="H4" s="95"/>
      <c r="I4" s="95"/>
      <c r="J4" s="27"/>
      <c r="K4" s="27"/>
      <c r="L4" s="27"/>
      <c r="M4" s="27"/>
      <c r="N4" s="27"/>
      <c r="O4" s="27"/>
      <c r="P4" s="27"/>
      <c r="Q4" s="27"/>
      <c r="R4" s="27"/>
      <c r="S4" s="27"/>
      <c r="T4" s="27"/>
      <c r="U4" s="27"/>
    </row>
    <row r="5" spans="1:21" ht="15.75" customHeight="1">
      <c r="A5" s="27"/>
      <c r="B5" s="27"/>
      <c r="C5" s="27"/>
      <c r="D5" s="27"/>
      <c r="E5" s="27"/>
      <c r="F5" s="27"/>
      <c r="G5" s="27"/>
      <c r="H5" s="27"/>
      <c r="I5" s="27"/>
      <c r="J5" s="27"/>
      <c r="K5" s="27"/>
      <c r="L5" s="27"/>
      <c r="M5" s="27"/>
      <c r="N5" s="27"/>
      <c r="O5" s="27"/>
      <c r="P5" s="27"/>
      <c r="Q5" s="27"/>
      <c r="R5" s="27"/>
      <c r="S5" s="27"/>
      <c r="T5" s="27"/>
      <c r="U5" s="27"/>
    </row>
    <row r="6" spans="1:21" ht="15.75" customHeight="1">
      <c r="A6" s="105" t="s">
        <v>160</v>
      </c>
      <c r="B6" s="95"/>
      <c r="C6" s="27"/>
      <c r="D6" s="27"/>
      <c r="E6" s="27"/>
      <c r="F6" s="27"/>
      <c r="G6" s="27"/>
      <c r="H6" s="27"/>
      <c r="I6" s="27"/>
      <c r="J6" s="27"/>
      <c r="K6" s="27"/>
      <c r="L6" s="27"/>
      <c r="M6" s="27"/>
      <c r="N6" s="27"/>
      <c r="O6" s="27"/>
      <c r="P6" s="27"/>
      <c r="Q6" s="27"/>
      <c r="R6" s="27"/>
      <c r="S6" s="27"/>
      <c r="T6" s="27"/>
      <c r="U6" s="27"/>
    </row>
    <row r="7" spans="1:21" ht="15.75" customHeight="1">
      <c r="A7" s="27"/>
      <c r="B7" s="27"/>
      <c r="C7" s="27"/>
      <c r="D7" s="27"/>
      <c r="E7" s="27"/>
      <c r="F7" s="27"/>
      <c r="G7" s="27"/>
      <c r="H7" s="27"/>
      <c r="I7" s="27"/>
      <c r="J7" s="27"/>
      <c r="K7" s="27"/>
      <c r="L7" s="27"/>
      <c r="M7" s="27"/>
      <c r="N7" s="27"/>
      <c r="O7" s="27"/>
      <c r="P7" s="27"/>
      <c r="Q7" s="27"/>
      <c r="R7" s="27"/>
      <c r="S7" s="27"/>
      <c r="T7" s="27"/>
      <c r="U7" s="27"/>
    </row>
    <row r="8" spans="1:21" ht="15.75" customHeight="1">
      <c r="A8" s="38" t="s">
        <v>27</v>
      </c>
      <c r="B8" s="38" t="s">
        <v>28</v>
      </c>
      <c r="C8" s="38" t="s">
        <v>29</v>
      </c>
      <c r="D8" s="38" t="s">
        <v>30</v>
      </c>
      <c r="E8" s="38" t="s">
        <v>111</v>
      </c>
      <c r="F8" s="38" t="s">
        <v>112</v>
      </c>
      <c r="G8" s="38" t="s">
        <v>113</v>
      </c>
      <c r="H8" s="38" t="s">
        <v>114</v>
      </c>
      <c r="I8" s="38" t="s">
        <v>115</v>
      </c>
      <c r="J8" s="38" t="s">
        <v>116</v>
      </c>
      <c r="K8" s="38" t="s">
        <v>117</v>
      </c>
      <c r="L8" s="38" t="s">
        <v>118</v>
      </c>
      <c r="M8" s="38" t="s">
        <v>119</v>
      </c>
      <c r="N8" s="38" t="s">
        <v>120</v>
      </c>
      <c r="O8" s="38" t="s">
        <v>121</v>
      </c>
      <c r="P8" s="38" t="s">
        <v>122</v>
      </c>
      <c r="Q8" s="38" t="s">
        <v>123</v>
      </c>
      <c r="R8" s="38" t="s">
        <v>124</v>
      </c>
      <c r="S8" s="38" t="s">
        <v>161</v>
      </c>
      <c r="T8" s="38" t="s">
        <v>162</v>
      </c>
      <c r="U8" s="27"/>
    </row>
    <row r="9" spans="1:21" ht="15.75" customHeight="1">
      <c r="A9" s="33">
        <v>457</v>
      </c>
      <c r="B9" s="34" t="s">
        <v>127</v>
      </c>
      <c r="C9" s="35">
        <v>41682</v>
      </c>
      <c r="D9" s="35">
        <v>41688</v>
      </c>
      <c r="E9" s="34" t="s">
        <v>128</v>
      </c>
      <c r="F9" s="34" t="s">
        <v>129</v>
      </c>
      <c r="G9" s="34" t="s">
        <v>130</v>
      </c>
      <c r="H9" s="34" t="s">
        <v>131</v>
      </c>
      <c r="I9" s="34" t="s">
        <v>132</v>
      </c>
      <c r="J9" s="34" t="s">
        <v>133</v>
      </c>
      <c r="K9" s="34" t="s">
        <v>134</v>
      </c>
      <c r="L9" s="33">
        <v>94521</v>
      </c>
      <c r="M9" s="34" t="s">
        <v>135</v>
      </c>
      <c r="N9" s="33">
        <v>129.6</v>
      </c>
      <c r="O9" s="33">
        <v>2</v>
      </c>
      <c r="P9" s="33">
        <v>0.2</v>
      </c>
      <c r="Q9" s="39">
        <v>24.29</v>
      </c>
      <c r="R9" s="33">
        <v>153.86000000000001</v>
      </c>
      <c r="S9" s="40" t="b">
        <f>OR(M9="office supplies",E9="first class")</f>
        <v>0</v>
      </c>
      <c r="T9" s="34" t="b">
        <f>OR(M9="furnitue",H9="consumer")</f>
        <v>1</v>
      </c>
      <c r="U9" s="32" t="b">
        <v>0</v>
      </c>
    </row>
    <row r="10" spans="1:21" ht="15.75" customHeight="1">
      <c r="A10" s="33">
        <v>202</v>
      </c>
      <c r="B10" s="34" t="s">
        <v>136</v>
      </c>
      <c r="C10" s="35">
        <v>41854</v>
      </c>
      <c r="D10" s="35">
        <v>41856</v>
      </c>
      <c r="E10" s="34" t="s">
        <v>137</v>
      </c>
      <c r="F10" s="34" t="s">
        <v>138</v>
      </c>
      <c r="G10" s="34" t="s">
        <v>139</v>
      </c>
      <c r="H10" s="34" t="s">
        <v>131</v>
      </c>
      <c r="I10" s="34" t="s">
        <v>132</v>
      </c>
      <c r="J10" s="34" t="s">
        <v>140</v>
      </c>
      <c r="K10" s="34" t="s">
        <v>141</v>
      </c>
      <c r="L10" s="33">
        <v>80219</v>
      </c>
      <c r="M10" s="34" t="s">
        <v>135</v>
      </c>
      <c r="N10" s="33">
        <v>218.8</v>
      </c>
      <c r="O10" s="33">
        <v>2</v>
      </c>
      <c r="P10" s="33">
        <v>0.5</v>
      </c>
      <c r="Q10" s="39">
        <v>161.88</v>
      </c>
      <c r="R10" s="33">
        <v>380.63</v>
      </c>
      <c r="S10" s="40" t="b">
        <f t="shared" ref="S10:S15" si="0">OR(M10="office supplies",E10="first class")</f>
        <v>1</v>
      </c>
      <c r="T10" s="34" t="b">
        <f t="shared" ref="T10:T15" si="1">OR(M10="furnitue",H10="consumer")</f>
        <v>1</v>
      </c>
      <c r="U10" s="32" t="b">
        <v>1</v>
      </c>
    </row>
    <row r="11" spans="1:21" ht="15.75" customHeight="1">
      <c r="A11" s="33">
        <v>114</v>
      </c>
      <c r="B11" s="34" t="s">
        <v>142</v>
      </c>
      <c r="C11" s="35">
        <v>41876</v>
      </c>
      <c r="D11" s="35">
        <v>41878</v>
      </c>
      <c r="E11" s="34" t="s">
        <v>143</v>
      </c>
      <c r="F11" s="34" t="s">
        <v>144</v>
      </c>
      <c r="G11" s="34" t="s">
        <v>145</v>
      </c>
      <c r="H11" s="34" t="s">
        <v>131</v>
      </c>
      <c r="I11" s="34" t="s">
        <v>132</v>
      </c>
      <c r="J11" s="34" t="s">
        <v>146</v>
      </c>
      <c r="K11" s="34" t="s">
        <v>147</v>
      </c>
      <c r="L11" s="33">
        <v>43229</v>
      </c>
      <c r="M11" s="34" t="s">
        <v>148</v>
      </c>
      <c r="N11" s="33">
        <v>40.1</v>
      </c>
      <c r="O11" s="33">
        <v>14</v>
      </c>
      <c r="P11" s="33">
        <v>0.2</v>
      </c>
      <c r="Q11" s="33">
        <v>14.53</v>
      </c>
      <c r="R11" s="33">
        <v>25.56</v>
      </c>
      <c r="S11" s="40" t="b">
        <f t="shared" si="0"/>
        <v>1</v>
      </c>
      <c r="T11" s="34" t="b">
        <f t="shared" si="1"/>
        <v>1</v>
      </c>
      <c r="U11" s="32" t="b">
        <v>1</v>
      </c>
    </row>
    <row r="12" spans="1:21" ht="15.75" customHeight="1">
      <c r="A12" s="33">
        <v>115</v>
      </c>
      <c r="B12" s="34" t="s">
        <v>142</v>
      </c>
      <c r="C12" s="35">
        <v>41876</v>
      </c>
      <c r="D12" s="35">
        <v>41878</v>
      </c>
      <c r="E12" s="34" t="s">
        <v>143</v>
      </c>
      <c r="F12" s="34" t="s">
        <v>144</v>
      </c>
      <c r="G12" s="34" t="s">
        <v>145</v>
      </c>
      <c r="H12" s="34" t="s">
        <v>131</v>
      </c>
      <c r="I12" s="34" t="s">
        <v>132</v>
      </c>
      <c r="J12" s="34" t="s">
        <v>146</v>
      </c>
      <c r="K12" s="34" t="s">
        <v>147</v>
      </c>
      <c r="L12" s="33">
        <v>43229</v>
      </c>
      <c r="M12" s="34" t="s">
        <v>148</v>
      </c>
      <c r="N12" s="33">
        <v>4.72</v>
      </c>
      <c r="O12" s="33">
        <v>2</v>
      </c>
      <c r="P12" s="33">
        <v>0.2</v>
      </c>
      <c r="Q12" s="33">
        <v>1.65</v>
      </c>
      <c r="R12" s="33">
        <v>3.07</v>
      </c>
      <c r="S12" s="40" t="b">
        <f t="shared" si="0"/>
        <v>1</v>
      </c>
      <c r="T12" s="34" t="b">
        <f t="shared" si="1"/>
        <v>1</v>
      </c>
      <c r="U12" s="32" t="b">
        <v>1</v>
      </c>
    </row>
    <row r="13" spans="1:21" ht="15.75" customHeight="1">
      <c r="A13" s="33">
        <v>116</v>
      </c>
      <c r="B13" s="34" t="s">
        <v>142</v>
      </c>
      <c r="C13" s="35">
        <v>41876</v>
      </c>
      <c r="D13" s="35">
        <v>41878</v>
      </c>
      <c r="E13" s="34" t="s">
        <v>143</v>
      </c>
      <c r="F13" s="34" t="s">
        <v>144</v>
      </c>
      <c r="G13" s="34" t="s">
        <v>145</v>
      </c>
      <c r="H13" s="34" t="s">
        <v>131</v>
      </c>
      <c r="I13" s="34" t="s">
        <v>132</v>
      </c>
      <c r="J13" s="34" t="s">
        <v>146</v>
      </c>
      <c r="K13" s="34" t="s">
        <v>147</v>
      </c>
      <c r="L13" s="33">
        <v>43229</v>
      </c>
      <c r="M13" s="34" t="s">
        <v>135</v>
      </c>
      <c r="N13" s="33">
        <v>23.98</v>
      </c>
      <c r="O13" s="33">
        <v>3</v>
      </c>
      <c r="P13" s="33">
        <v>0.2</v>
      </c>
      <c r="Q13" s="33">
        <v>7.49</v>
      </c>
      <c r="R13" s="33">
        <v>16.48</v>
      </c>
      <c r="S13" s="40" t="b">
        <f t="shared" si="0"/>
        <v>0</v>
      </c>
      <c r="T13" s="34" t="b">
        <f t="shared" si="1"/>
        <v>1</v>
      </c>
      <c r="U13" s="32" t="b">
        <v>0</v>
      </c>
    </row>
    <row r="14" spans="1:21" ht="15.75" customHeight="1">
      <c r="A14" s="33">
        <v>117</v>
      </c>
      <c r="B14" s="34" t="s">
        <v>142</v>
      </c>
      <c r="C14" s="35">
        <v>41876</v>
      </c>
      <c r="D14" s="35">
        <v>41878</v>
      </c>
      <c r="E14" s="34" t="s">
        <v>137</v>
      </c>
      <c r="F14" s="34" t="s">
        <v>144</v>
      </c>
      <c r="G14" s="34" t="s">
        <v>145</v>
      </c>
      <c r="H14" s="34" t="s">
        <v>131</v>
      </c>
      <c r="I14" s="34" t="s">
        <v>132</v>
      </c>
      <c r="J14" s="34" t="s">
        <v>146</v>
      </c>
      <c r="K14" s="34" t="s">
        <v>147</v>
      </c>
      <c r="L14" s="33">
        <v>43229</v>
      </c>
      <c r="M14" s="34" t="s">
        <v>148</v>
      </c>
      <c r="N14" s="33">
        <v>130.5</v>
      </c>
      <c r="O14" s="33">
        <v>6</v>
      </c>
      <c r="P14" s="33">
        <v>0.2</v>
      </c>
      <c r="Q14" s="33">
        <v>44.03</v>
      </c>
      <c r="R14" s="33">
        <v>86.43</v>
      </c>
      <c r="S14" s="40" t="b">
        <f t="shared" si="0"/>
        <v>1</v>
      </c>
      <c r="T14" s="34" t="b">
        <f t="shared" si="1"/>
        <v>1</v>
      </c>
      <c r="U14" s="32" t="b">
        <v>1</v>
      </c>
    </row>
    <row r="15" spans="1:21" ht="15.75" customHeight="1">
      <c r="A15" s="33">
        <v>231</v>
      </c>
      <c r="B15" s="34" t="s">
        <v>149</v>
      </c>
      <c r="C15" s="35">
        <v>41895</v>
      </c>
      <c r="D15" s="35">
        <v>41899</v>
      </c>
      <c r="E15" s="34" t="s">
        <v>128</v>
      </c>
      <c r="F15" s="34" t="s">
        <v>150</v>
      </c>
      <c r="G15" s="34" t="s">
        <v>151</v>
      </c>
      <c r="H15" s="34" t="s">
        <v>152</v>
      </c>
      <c r="I15" s="34" t="s">
        <v>132</v>
      </c>
      <c r="J15" s="34" t="s">
        <v>153</v>
      </c>
      <c r="K15" s="34" t="s">
        <v>154</v>
      </c>
      <c r="L15" s="33">
        <v>28205</v>
      </c>
      <c r="M15" s="34" t="s">
        <v>163</v>
      </c>
      <c r="N15" s="33">
        <v>18.649999999999999</v>
      </c>
      <c r="O15" s="33">
        <v>7</v>
      </c>
      <c r="P15" s="33">
        <v>0.7</v>
      </c>
      <c r="Q15" s="39">
        <v>12.43</v>
      </c>
      <c r="R15" s="33">
        <v>31.08</v>
      </c>
      <c r="S15" s="40" t="b">
        <f t="shared" si="0"/>
        <v>0</v>
      </c>
      <c r="T15" s="34" t="b">
        <f t="shared" si="1"/>
        <v>0</v>
      </c>
      <c r="U15" s="32" t="b">
        <v>0</v>
      </c>
    </row>
    <row r="16" spans="1:21" ht="15.75" customHeight="1">
      <c r="A16" s="27"/>
      <c r="B16" s="27"/>
      <c r="C16" s="27"/>
      <c r="D16" s="27"/>
      <c r="E16" s="27"/>
      <c r="F16" s="27"/>
      <c r="G16" s="27"/>
      <c r="H16" s="27"/>
      <c r="I16" s="27"/>
      <c r="J16" s="27"/>
      <c r="K16" s="27"/>
      <c r="L16" s="27"/>
      <c r="M16" s="27"/>
      <c r="N16" s="27"/>
      <c r="O16" s="27"/>
      <c r="P16" s="27"/>
      <c r="Q16" s="27"/>
      <c r="R16" s="27"/>
      <c r="S16" s="27"/>
      <c r="T16" s="27"/>
      <c r="U16" s="27"/>
    </row>
    <row r="17" spans="1:21" ht="15.75" customHeight="1">
      <c r="A17" s="105" t="s">
        <v>155</v>
      </c>
      <c r="B17" s="95"/>
      <c r="C17" s="95"/>
      <c r="D17" s="95"/>
      <c r="E17" s="95"/>
      <c r="F17" s="95"/>
      <c r="G17" s="95"/>
      <c r="H17" s="95"/>
      <c r="I17" s="27"/>
      <c r="J17" s="27"/>
      <c r="K17" s="27"/>
      <c r="L17" s="27"/>
      <c r="M17" s="27"/>
      <c r="N17" s="27"/>
      <c r="O17" s="27"/>
      <c r="P17" s="27"/>
      <c r="Q17" s="27"/>
      <c r="R17" s="27"/>
      <c r="S17" s="27"/>
      <c r="T17" s="27"/>
      <c r="U17" s="27"/>
    </row>
    <row r="18" spans="1:21" ht="15.75" customHeight="1">
      <c r="A18" s="27"/>
      <c r="B18" s="27"/>
      <c r="C18" s="27"/>
      <c r="D18" s="27"/>
      <c r="E18" s="27"/>
      <c r="F18" s="27"/>
      <c r="G18" s="27"/>
      <c r="H18" s="27"/>
      <c r="I18" s="27"/>
      <c r="J18" s="27"/>
      <c r="K18" s="27"/>
      <c r="L18" s="27"/>
      <c r="M18" s="27"/>
      <c r="N18" s="27"/>
      <c r="O18" s="27"/>
      <c r="P18" s="27"/>
      <c r="Q18" s="27"/>
      <c r="R18" s="27"/>
      <c r="S18" s="27"/>
      <c r="T18" s="27"/>
      <c r="U18" s="27"/>
    </row>
    <row r="19" spans="1:21" ht="15.75" customHeight="1">
      <c r="A19" s="105" t="s">
        <v>164</v>
      </c>
      <c r="B19" s="95"/>
      <c r="C19" s="95"/>
      <c r="D19" s="95"/>
      <c r="E19" s="95"/>
      <c r="F19" s="95"/>
      <c r="G19" s="95"/>
      <c r="H19" s="95"/>
      <c r="I19" s="27"/>
      <c r="J19" s="27"/>
      <c r="K19" s="27"/>
      <c r="L19" s="27"/>
      <c r="M19" s="27"/>
      <c r="N19" s="27"/>
      <c r="O19" s="27"/>
      <c r="P19" s="27"/>
      <c r="Q19" s="27"/>
      <c r="R19" s="27"/>
      <c r="S19" s="27"/>
      <c r="T19" s="27"/>
      <c r="U19" s="27"/>
    </row>
    <row r="20" spans="1:21" ht="15.75" customHeight="1">
      <c r="A20" s="27"/>
      <c r="B20" s="27"/>
      <c r="C20" s="27"/>
      <c r="D20" s="27"/>
      <c r="E20" s="27"/>
      <c r="F20" s="27"/>
      <c r="G20" s="27"/>
      <c r="H20" s="27"/>
      <c r="I20" s="27"/>
      <c r="J20" s="27"/>
      <c r="K20" s="27"/>
      <c r="L20" s="27"/>
      <c r="M20" s="27"/>
      <c r="N20" s="27"/>
      <c r="O20" s="27"/>
      <c r="P20" s="27"/>
      <c r="Q20" s="27"/>
      <c r="R20" s="27"/>
      <c r="S20" s="27"/>
      <c r="T20" s="27"/>
      <c r="U20" s="27"/>
    </row>
    <row r="21" spans="1:21" ht="15.75" customHeight="1">
      <c r="A21" s="27"/>
      <c r="B21" s="27"/>
      <c r="C21" s="27"/>
      <c r="D21" s="27"/>
      <c r="E21" s="27"/>
      <c r="F21" s="27"/>
      <c r="G21" s="27"/>
      <c r="H21" s="27"/>
      <c r="I21" s="27"/>
      <c r="J21" s="27"/>
      <c r="K21" s="27"/>
      <c r="L21" s="27"/>
      <c r="M21" s="27"/>
      <c r="N21" s="27"/>
      <c r="O21" s="27"/>
      <c r="P21" s="27"/>
      <c r="Q21" s="27"/>
      <c r="R21" s="27"/>
      <c r="S21" s="27"/>
      <c r="T21" s="27"/>
      <c r="U21" s="27"/>
    </row>
    <row r="22" spans="1:21" ht="15.75" customHeight="1">
      <c r="A22" s="27"/>
      <c r="B22" s="27"/>
      <c r="C22" s="27"/>
      <c r="D22" s="27"/>
      <c r="E22" s="27"/>
      <c r="F22" s="27"/>
      <c r="G22" s="27"/>
      <c r="H22" s="27"/>
      <c r="I22" s="27"/>
      <c r="J22" s="27"/>
      <c r="K22" s="27"/>
      <c r="L22" s="27"/>
      <c r="M22" s="27"/>
      <c r="N22" s="27"/>
      <c r="O22" s="27"/>
      <c r="P22" s="27"/>
      <c r="Q22" s="27"/>
      <c r="R22" s="27"/>
      <c r="S22" s="27"/>
      <c r="T22" s="27"/>
      <c r="U22" s="27"/>
    </row>
    <row r="23" spans="1:21" ht="15.75" customHeight="1">
      <c r="A23" s="27"/>
      <c r="B23" s="27"/>
      <c r="C23" s="27"/>
      <c r="D23" s="27"/>
      <c r="E23" s="27"/>
      <c r="F23" s="27"/>
      <c r="G23" s="27"/>
      <c r="H23" s="27"/>
      <c r="I23" s="27"/>
      <c r="J23" s="27"/>
      <c r="K23" s="27"/>
      <c r="L23" s="27"/>
      <c r="M23" s="27"/>
      <c r="N23" s="27"/>
      <c r="O23" s="27"/>
      <c r="P23" s="27"/>
      <c r="Q23" s="27"/>
      <c r="R23" s="27"/>
      <c r="S23" s="27"/>
      <c r="T23" s="27"/>
      <c r="U23" s="27"/>
    </row>
    <row r="24" spans="1:21" ht="15.75" customHeight="1">
      <c r="A24" s="27"/>
      <c r="B24" s="27"/>
      <c r="C24" s="27"/>
      <c r="D24" s="27"/>
      <c r="E24" s="27"/>
      <c r="F24" s="27"/>
      <c r="G24" s="27"/>
      <c r="H24" s="27"/>
      <c r="I24" s="27"/>
      <c r="J24" s="27"/>
      <c r="K24" s="27"/>
      <c r="L24" s="27"/>
      <c r="M24" s="27"/>
      <c r="N24" s="27"/>
      <c r="O24" s="27"/>
      <c r="P24" s="27"/>
      <c r="Q24" s="27"/>
      <c r="R24" s="27"/>
      <c r="S24" s="27"/>
      <c r="T24" s="27"/>
      <c r="U24" s="27"/>
    </row>
  </sheetData>
  <mergeCells count="6">
    <mergeCell ref="A19:H19"/>
    <mergeCell ref="A1:B1"/>
    <mergeCell ref="A2:C2"/>
    <mergeCell ref="B4:I4"/>
    <mergeCell ref="A6:B6"/>
    <mergeCell ref="A17:H17"/>
  </mergeCells>
  <pageMargins left="0.7" right="0.7" top="0.75" bottom="0.75" header="0.3" footer="0.3"/>
</worksheet>
</file>

<file path=xl/worksheets/sheet7.xml><?xml version="1.0" encoding="utf-8"?>
<worksheet xmlns="http://schemas.openxmlformats.org/spreadsheetml/2006/main" xmlns:r="http://schemas.openxmlformats.org/officeDocument/2006/relationships">
  <sheetPr>
    <outlinePr summaryBelow="0" summaryRight="0"/>
  </sheetPr>
  <dimension ref="A1:V34"/>
  <sheetViews>
    <sheetView topLeftCell="A16" workbookViewId="0">
      <selection activeCell="B39" sqref="B39"/>
    </sheetView>
  </sheetViews>
  <sheetFormatPr defaultColWidth="12.7109375" defaultRowHeight="15.75" customHeight="1"/>
  <cols>
    <col min="3" max="3" width="15.5703125" bestFit="1" customWidth="1"/>
    <col min="4" max="4" width="14.85546875" bestFit="1" customWidth="1"/>
    <col min="13" max="13" width="17.7109375" customWidth="1"/>
  </cols>
  <sheetData>
    <row r="1" spans="1:22" ht="15.75" customHeight="1">
      <c r="A1" s="91" t="s">
        <v>397</v>
      </c>
      <c r="B1" s="27"/>
      <c r="C1" s="27"/>
      <c r="D1" s="27"/>
      <c r="E1" s="27"/>
      <c r="F1" s="27"/>
      <c r="G1" s="27"/>
      <c r="H1" s="27"/>
      <c r="I1" s="27"/>
      <c r="J1" s="27"/>
      <c r="K1" s="27"/>
      <c r="L1" s="27"/>
      <c r="M1" s="27"/>
      <c r="N1" s="27"/>
      <c r="O1" s="27"/>
      <c r="P1" s="27"/>
      <c r="Q1" s="27"/>
      <c r="R1" s="27"/>
      <c r="S1" s="27"/>
      <c r="T1" s="27"/>
      <c r="U1" s="27"/>
      <c r="V1" s="27"/>
    </row>
    <row r="2" spans="1:22" ht="15.75" customHeight="1">
      <c r="A2" s="27"/>
      <c r="B2" s="27"/>
      <c r="C2" s="27"/>
      <c r="D2" s="27"/>
      <c r="E2" s="27"/>
      <c r="F2" s="27"/>
      <c r="G2" s="27"/>
      <c r="H2" s="27"/>
      <c r="I2" s="27"/>
      <c r="J2" s="27"/>
      <c r="K2" s="27"/>
      <c r="L2" s="27"/>
      <c r="M2" s="27"/>
      <c r="N2" s="27"/>
      <c r="O2" s="27"/>
      <c r="P2" s="27"/>
      <c r="Q2" s="27"/>
      <c r="R2" s="27"/>
      <c r="S2" s="27"/>
      <c r="T2" s="27"/>
      <c r="U2" s="27"/>
      <c r="V2" s="27"/>
    </row>
    <row r="3" spans="1:22" ht="15.75" customHeight="1">
      <c r="A3" s="108" t="s">
        <v>165</v>
      </c>
      <c r="B3" s="95"/>
      <c r="C3" s="95"/>
      <c r="D3" s="95"/>
      <c r="E3" s="95"/>
      <c r="F3" s="27"/>
      <c r="G3" s="27"/>
      <c r="H3" s="27"/>
      <c r="I3" s="27"/>
      <c r="J3" s="27"/>
      <c r="K3" s="27"/>
      <c r="L3" s="27"/>
      <c r="M3" s="27"/>
      <c r="N3" s="27"/>
      <c r="O3" s="27"/>
      <c r="P3" s="27"/>
      <c r="Q3" s="27"/>
      <c r="R3" s="27"/>
      <c r="S3" s="27"/>
      <c r="T3" s="27"/>
      <c r="U3" s="27"/>
      <c r="V3" s="27"/>
    </row>
    <row r="4" spans="1:22" ht="15.75" customHeight="1">
      <c r="A4" s="27"/>
      <c r="B4" s="27"/>
      <c r="C4" s="27"/>
      <c r="D4" s="27"/>
      <c r="E4" s="27"/>
      <c r="F4" s="27"/>
      <c r="G4" s="27"/>
      <c r="H4" s="27"/>
      <c r="I4" s="27"/>
      <c r="J4" s="27"/>
      <c r="K4" s="27"/>
      <c r="L4" s="27"/>
      <c r="M4" s="27"/>
      <c r="N4" s="27"/>
      <c r="O4" s="27"/>
      <c r="P4" s="27"/>
      <c r="Q4" s="27"/>
      <c r="R4" s="27"/>
      <c r="S4" s="27"/>
      <c r="T4" s="27"/>
      <c r="U4" s="27"/>
      <c r="V4" s="27"/>
    </row>
    <row r="5" spans="1:22" ht="15.75" customHeight="1">
      <c r="A5" s="108" t="s">
        <v>166</v>
      </c>
      <c r="B5" s="95"/>
      <c r="C5" s="95"/>
      <c r="D5" s="95"/>
      <c r="E5" s="95"/>
      <c r="F5" s="95"/>
      <c r="G5" s="95"/>
      <c r="H5" s="95"/>
      <c r="I5" s="95"/>
      <c r="J5" s="27"/>
      <c r="K5" s="27"/>
      <c r="L5" s="27"/>
      <c r="M5" s="27"/>
      <c r="N5" s="27"/>
      <c r="O5" s="27"/>
      <c r="P5" s="27"/>
      <c r="Q5" s="27"/>
      <c r="R5" s="27"/>
      <c r="S5" s="27"/>
      <c r="T5" s="27"/>
      <c r="U5" s="27"/>
      <c r="V5" s="27"/>
    </row>
    <row r="6" spans="1:22" ht="15.75" customHeight="1">
      <c r="A6" s="27"/>
      <c r="B6" s="27"/>
      <c r="C6" s="27"/>
      <c r="D6" s="27"/>
      <c r="E6" s="27"/>
      <c r="F6" s="27"/>
      <c r="G6" s="27"/>
      <c r="H6" s="27"/>
      <c r="I6" s="27"/>
      <c r="J6" s="27"/>
      <c r="K6" s="27"/>
      <c r="L6" s="27"/>
      <c r="M6" s="27"/>
      <c r="N6" s="27"/>
      <c r="O6" s="27"/>
      <c r="P6" s="27"/>
      <c r="Q6" s="27"/>
      <c r="R6" s="27"/>
      <c r="S6" s="27"/>
      <c r="T6" s="27"/>
      <c r="U6" s="27"/>
      <c r="V6" s="27"/>
    </row>
    <row r="7" spans="1:22" ht="15.75" customHeight="1">
      <c r="A7" s="105" t="s">
        <v>107</v>
      </c>
      <c r="B7" s="95"/>
      <c r="C7" s="27"/>
      <c r="D7" s="27"/>
      <c r="E7" s="27"/>
      <c r="F7" s="27"/>
      <c r="G7" s="27"/>
      <c r="H7" s="27"/>
      <c r="I7" s="27"/>
      <c r="J7" s="27"/>
      <c r="K7" s="27"/>
      <c r="L7" s="27"/>
      <c r="M7" s="27"/>
      <c r="N7" s="27"/>
      <c r="O7" s="27"/>
      <c r="P7" s="27"/>
      <c r="Q7" s="27"/>
      <c r="R7" s="27"/>
      <c r="S7" s="27"/>
      <c r="T7" s="27"/>
      <c r="U7" s="27"/>
      <c r="V7" s="27"/>
    </row>
    <row r="8" spans="1:22" ht="15.75" customHeight="1">
      <c r="A8" s="108" t="s">
        <v>167</v>
      </c>
      <c r="B8" s="95"/>
      <c r="C8" s="95"/>
      <c r="D8" s="95"/>
      <c r="E8" s="95"/>
      <c r="F8" s="27"/>
      <c r="G8" s="27"/>
      <c r="H8" s="27"/>
      <c r="I8" s="27"/>
      <c r="J8" s="27"/>
      <c r="K8" s="27"/>
      <c r="L8" s="27"/>
      <c r="M8" s="27"/>
      <c r="N8" s="27"/>
      <c r="O8" s="27"/>
      <c r="P8" s="27"/>
      <c r="Q8" s="27"/>
      <c r="R8" s="27"/>
      <c r="S8" s="27"/>
      <c r="T8" s="27"/>
      <c r="U8" s="27"/>
      <c r="V8" s="27"/>
    </row>
    <row r="9" spans="1:22" ht="15.75" customHeight="1">
      <c r="A9" s="27"/>
      <c r="B9" s="27"/>
      <c r="C9" s="27"/>
      <c r="D9" s="27"/>
      <c r="E9" s="27"/>
      <c r="F9" s="27"/>
      <c r="G9" s="27"/>
      <c r="H9" s="27"/>
      <c r="I9" s="27"/>
      <c r="J9" s="27"/>
      <c r="K9" s="27"/>
      <c r="L9" s="27"/>
      <c r="M9" s="27"/>
      <c r="N9" s="27"/>
      <c r="O9" s="27"/>
      <c r="P9" s="27"/>
      <c r="Q9" s="27"/>
      <c r="R9" s="27"/>
      <c r="S9" s="27"/>
      <c r="T9" s="27"/>
      <c r="U9" s="27"/>
      <c r="V9" s="27"/>
    </row>
    <row r="10" spans="1:22" ht="15.75" customHeight="1">
      <c r="A10" s="107" t="s">
        <v>168</v>
      </c>
      <c r="B10" s="95"/>
      <c r="C10" s="95"/>
      <c r="D10" s="95"/>
      <c r="E10" s="95"/>
      <c r="F10" s="95"/>
      <c r="G10" s="27"/>
      <c r="H10" s="27"/>
      <c r="I10" s="27"/>
      <c r="J10" s="27"/>
      <c r="K10" s="108"/>
      <c r="L10" s="95"/>
      <c r="M10" s="95"/>
      <c r="N10" s="95"/>
      <c r="O10" s="95"/>
      <c r="P10" s="95"/>
      <c r="Q10" s="95"/>
      <c r="R10" s="95"/>
      <c r="S10" s="95"/>
      <c r="T10" s="27"/>
      <c r="U10" s="27"/>
      <c r="V10" s="27"/>
    </row>
    <row r="11" spans="1:22" ht="15.75" customHeight="1">
      <c r="A11" s="27"/>
      <c r="B11" s="27"/>
      <c r="C11" s="27"/>
      <c r="D11" s="27"/>
      <c r="E11" s="27"/>
      <c r="F11" s="27"/>
      <c r="G11" s="27"/>
      <c r="H11" s="27"/>
      <c r="I11" s="41"/>
      <c r="J11" s="27"/>
      <c r="K11" s="27"/>
      <c r="L11" s="27"/>
      <c r="M11" s="27"/>
      <c r="N11" s="27"/>
      <c r="O11" s="27"/>
      <c r="P11" s="27"/>
      <c r="Q11" s="27"/>
      <c r="R11" s="27"/>
      <c r="S11" s="27"/>
      <c r="T11" s="27"/>
      <c r="U11" s="27"/>
      <c r="V11" s="27"/>
    </row>
    <row r="12" spans="1:22" ht="15.75" customHeight="1">
      <c r="A12" s="109" t="s">
        <v>169</v>
      </c>
      <c r="B12" s="95"/>
      <c r="C12" s="95"/>
      <c r="D12" s="95"/>
      <c r="E12" s="95"/>
      <c r="F12" s="95"/>
      <c r="G12" s="95"/>
      <c r="H12" s="27"/>
      <c r="I12" s="27"/>
      <c r="J12" s="27"/>
      <c r="K12" s="27"/>
      <c r="L12" s="27"/>
      <c r="M12" s="27"/>
      <c r="N12" s="27"/>
      <c r="O12" s="27"/>
      <c r="P12" s="27"/>
      <c r="Q12" s="27"/>
      <c r="R12" s="27"/>
      <c r="S12" s="27"/>
      <c r="T12" s="27"/>
      <c r="U12" s="27"/>
      <c r="V12" s="27"/>
    </row>
    <row r="13" spans="1:22" ht="15.75" customHeight="1">
      <c r="A13" s="27"/>
      <c r="B13" s="27"/>
      <c r="C13" s="27"/>
      <c r="D13" s="27"/>
      <c r="E13" s="27"/>
      <c r="F13" s="27"/>
      <c r="G13" s="27"/>
      <c r="H13" s="27"/>
      <c r="I13" s="27"/>
      <c r="J13" s="27"/>
      <c r="K13" s="27"/>
      <c r="L13" s="27"/>
      <c r="M13" s="27"/>
      <c r="N13" s="27"/>
      <c r="O13" s="27"/>
      <c r="P13" s="27"/>
      <c r="Q13" s="27"/>
      <c r="R13" s="27"/>
      <c r="S13" s="27"/>
      <c r="T13" s="27"/>
      <c r="U13" s="27"/>
      <c r="V13" s="27"/>
    </row>
    <row r="14" spans="1:22" ht="15.75" customHeight="1">
      <c r="A14" s="109" t="s">
        <v>170</v>
      </c>
      <c r="B14" s="95"/>
      <c r="C14" s="95"/>
      <c r="D14" s="95"/>
      <c r="E14" s="95"/>
      <c r="F14" s="95"/>
      <c r="G14" s="95"/>
      <c r="H14" s="27"/>
      <c r="I14" s="27"/>
      <c r="J14" s="27"/>
      <c r="K14" s="27"/>
      <c r="L14" s="27"/>
      <c r="M14" s="27"/>
      <c r="N14" s="27"/>
      <c r="O14" s="27"/>
      <c r="P14" s="27"/>
      <c r="Q14" s="27"/>
      <c r="R14" s="27"/>
      <c r="S14" s="27"/>
      <c r="T14" s="27"/>
      <c r="U14" s="27"/>
      <c r="V14" s="27"/>
    </row>
    <row r="15" spans="1:22" ht="15.75" customHeight="1">
      <c r="A15" s="27"/>
      <c r="B15" s="27"/>
      <c r="C15" s="27"/>
      <c r="D15" s="27"/>
      <c r="E15" s="27"/>
      <c r="F15" s="27"/>
      <c r="G15" s="27"/>
      <c r="H15" s="27"/>
      <c r="I15" s="27"/>
      <c r="J15" s="27"/>
      <c r="K15" s="27"/>
      <c r="L15" s="27"/>
      <c r="M15" s="27"/>
      <c r="N15" s="27"/>
      <c r="O15" s="27"/>
      <c r="P15" s="27"/>
      <c r="Q15" s="27"/>
      <c r="R15" s="27"/>
      <c r="S15" s="27"/>
      <c r="T15" s="27"/>
      <c r="U15" s="27"/>
      <c r="V15" s="27"/>
    </row>
    <row r="16" spans="1:22" ht="15.75" customHeight="1">
      <c r="A16" s="105" t="s">
        <v>160</v>
      </c>
      <c r="B16" s="95"/>
      <c r="C16" s="27"/>
      <c r="D16" s="27"/>
      <c r="E16" s="27"/>
      <c r="F16" s="27"/>
      <c r="G16" s="27"/>
      <c r="H16" s="27"/>
      <c r="I16" s="27"/>
      <c r="J16" s="27"/>
      <c r="K16" s="27"/>
      <c r="L16" s="27"/>
      <c r="M16" s="27"/>
      <c r="N16" s="27"/>
      <c r="O16" s="27"/>
      <c r="P16" s="27"/>
      <c r="Q16" s="27"/>
      <c r="R16" s="27"/>
      <c r="S16" s="27"/>
      <c r="T16" s="27"/>
      <c r="U16" s="27"/>
      <c r="V16" s="27"/>
    </row>
    <row r="17" spans="1:22" ht="15.75" customHeight="1">
      <c r="A17" s="27"/>
      <c r="B17" s="27"/>
      <c r="C17" s="27"/>
      <c r="D17" s="27"/>
      <c r="E17" s="27"/>
      <c r="F17" s="27"/>
      <c r="G17" s="27"/>
      <c r="H17" s="27"/>
      <c r="I17" s="27"/>
      <c r="J17" s="27"/>
      <c r="K17" s="27"/>
      <c r="L17" s="27"/>
      <c r="M17" s="27"/>
      <c r="N17" s="27"/>
      <c r="O17" s="27"/>
      <c r="P17" s="27"/>
      <c r="Q17" s="27"/>
      <c r="R17" s="27"/>
      <c r="S17" s="27"/>
      <c r="T17" s="27"/>
      <c r="U17" s="27"/>
      <c r="V17" s="27"/>
    </row>
    <row r="18" spans="1:22" ht="15.75" customHeight="1">
      <c r="A18" s="38" t="s">
        <v>27</v>
      </c>
      <c r="B18" s="38" t="s">
        <v>28</v>
      </c>
      <c r="C18" s="38" t="s">
        <v>29</v>
      </c>
      <c r="D18" s="38" t="s">
        <v>30</v>
      </c>
      <c r="E18" s="38" t="s">
        <v>111</v>
      </c>
      <c r="F18" s="38" t="s">
        <v>112</v>
      </c>
      <c r="G18" s="38" t="s">
        <v>113</v>
      </c>
      <c r="H18" s="38" t="s">
        <v>114</v>
      </c>
      <c r="I18" s="38" t="s">
        <v>115</v>
      </c>
      <c r="J18" s="38" t="s">
        <v>116</v>
      </c>
      <c r="K18" s="38" t="s">
        <v>117</v>
      </c>
      <c r="L18" s="38" t="s">
        <v>118</v>
      </c>
      <c r="M18" s="38" t="s">
        <v>119</v>
      </c>
      <c r="N18" s="38" t="s">
        <v>171</v>
      </c>
      <c r="O18" s="38" t="s">
        <v>120</v>
      </c>
      <c r="P18" s="38" t="s">
        <v>121</v>
      </c>
      <c r="Q18" s="38" t="s">
        <v>122</v>
      </c>
      <c r="R18" s="38" t="s">
        <v>123</v>
      </c>
      <c r="S18" s="38" t="s">
        <v>124</v>
      </c>
      <c r="T18" s="38" t="s">
        <v>172</v>
      </c>
      <c r="U18" s="38" t="s">
        <v>173</v>
      </c>
      <c r="V18" s="27"/>
    </row>
    <row r="19" spans="1:22" ht="15.75" customHeight="1">
      <c r="A19" s="33">
        <v>457</v>
      </c>
      <c r="B19" s="34" t="s">
        <v>127</v>
      </c>
      <c r="C19" s="35">
        <v>41682</v>
      </c>
      <c r="D19" s="35">
        <v>41688</v>
      </c>
      <c r="E19" s="34" t="s">
        <v>128</v>
      </c>
      <c r="F19" s="34" t="s">
        <v>129</v>
      </c>
      <c r="G19" s="34" t="s">
        <v>130</v>
      </c>
      <c r="H19" s="34" t="s">
        <v>131</v>
      </c>
      <c r="I19" s="34" t="s">
        <v>132</v>
      </c>
      <c r="J19" s="34" t="s">
        <v>133</v>
      </c>
      <c r="K19" s="34" t="s">
        <v>134</v>
      </c>
      <c r="L19" s="33">
        <v>94521</v>
      </c>
      <c r="M19" s="34" t="s">
        <v>135</v>
      </c>
      <c r="N19" s="34"/>
      <c r="O19" s="33">
        <v>129.6</v>
      </c>
      <c r="P19" s="33">
        <v>2</v>
      </c>
      <c r="Q19" s="33">
        <v>0.2</v>
      </c>
      <c r="R19" s="39">
        <v>24.29</v>
      </c>
      <c r="S19" s="33">
        <v>153.86000000000001</v>
      </c>
      <c r="T19" s="30" t="str">
        <f>IF(Q19&gt;0.4,"true","false")</f>
        <v>false</v>
      </c>
      <c r="U19" s="30" t="str">
        <f>IF(Q19&gt;0.4,"high","low")</f>
        <v>low</v>
      </c>
      <c r="V19" s="27"/>
    </row>
    <row r="20" spans="1:22" ht="15.75" customHeight="1">
      <c r="A20" s="33">
        <v>202</v>
      </c>
      <c r="B20" s="34" t="s">
        <v>136</v>
      </c>
      <c r="C20" s="35">
        <v>41854</v>
      </c>
      <c r="D20" s="35">
        <v>41856</v>
      </c>
      <c r="E20" s="34" t="s">
        <v>137</v>
      </c>
      <c r="F20" s="34" t="s">
        <v>138</v>
      </c>
      <c r="G20" s="34" t="s">
        <v>139</v>
      </c>
      <c r="H20" s="34" t="s">
        <v>131</v>
      </c>
      <c r="I20" s="34" t="s">
        <v>132</v>
      </c>
      <c r="J20" s="34" t="s">
        <v>140</v>
      </c>
      <c r="K20" s="34" t="s">
        <v>141</v>
      </c>
      <c r="L20" s="33">
        <v>80219</v>
      </c>
      <c r="M20" s="34" t="s">
        <v>135</v>
      </c>
      <c r="N20" s="34"/>
      <c r="O20" s="33">
        <v>218.8</v>
      </c>
      <c r="P20" s="33">
        <v>2</v>
      </c>
      <c r="Q20" s="33">
        <v>0.5</v>
      </c>
      <c r="R20" s="39">
        <v>161.88</v>
      </c>
      <c r="S20" s="33">
        <v>380.63</v>
      </c>
      <c r="T20" s="30" t="str">
        <f t="shared" ref="T20:T25" si="0">IF(Q20&gt;0.4,"true","false")</f>
        <v>true</v>
      </c>
      <c r="U20" s="30" t="str">
        <f t="shared" ref="U20:U25" si="1">IF(Q20&gt;0.4,"high","low")</f>
        <v>high</v>
      </c>
      <c r="V20" s="27"/>
    </row>
    <row r="21" spans="1:22" ht="15.75" customHeight="1">
      <c r="A21" s="33">
        <v>114</v>
      </c>
      <c r="B21" s="34" t="s">
        <v>142</v>
      </c>
      <c r="C21" s="35">
        <v>41876</v>
      </c>
      <c r="D21" s="35">
        <v>41878</v>
      </c>
      <c r="E21" s="34" t="s">
        <v>143</v>
      </c>
      <c r="F21" s="34" t="s">
        <v>144</v>
      </c>
      <c r="G21" s="34" t="s">
        <v>145</v>
      </c>
      <c r="H21" s="34" t="s">
        <v>131</v>
      </c>
      <c r="I21" s="34" t="s">
        <v>132</v>
      </c>
      <c r="J21" s="34" t="s">
        <v>146</v>
      </c>
      <c r="K21" s="34" t="s">
        <v>147</v>
      </c>
      <c r="L21" s="33">
        <v>43229</v>
      </c>
      <c r="M21" s="34" t="s">
        <v>148</v>
      </c>
      <c r="N21" s="34"/>
      <c r="O21" s="33">
        <v>40.1</v>
      </c>
      <c r="P21" s="33">
        <v>14</v>
      </c>
      <c r="Q21" s="33">
        <v>0.2</v>
      </c>
      <c r="R21" s="33">
        <v>14.53</v>
      </c>
      <c r="S21" s="33">
        <v>25.56</v>
      </c>
      <c r="T21" s="30" t="str">
        <f t="shared" si="0"/>
        <v>false</v>
      </c>
      <c r="U21" s="30" t="str">
        <f t="shared" si="1"/>
        <v>low</v>
      </c>
      <c r="V21" s="27"/>
    </row>
    <row r="22" spans="1:22" ht="15.75" customHeight="1">
      <c r="A22" s="33">
        <v>115</v>
      </c>
      <c r="B22" s="34" t="s">
        <v>142</v>
      </c>
      <c r="C22" s="35">
        <v>41876</v>
      </c>
      <c r="D22" s="35">
        <v>41878</v>
      </c>
      <c r="E22" s="34" t="s">
        <v>143</v>
      </c>
      <c r="F22" s="34" t="s">
        <v>144</v>
      </c>
      <c r="G22" s="34" t="s">
        <v>145</v>
      </c>
      <c r="H22" s="34" t="s">
        <v>131</v>
      </c>
      <c r="I22" s="34" t="s">
        <v>132</v>
      </c>
      <c r="J22" s="34" t="s">
        <v>146</v>
      </c>
      <c r="K22" s="34" t="s">
        <v>147</v>
      </c>
      <c r="L22" s="33">
        <v>43229</v>
      </c>
      <c r="M22" s="34" t="s">
        <v>174</v>
      </c>
      <c r="N22" s="34"/>
      <c r="O22" s="33">
        <v>4.72</v>
      </c>
      <c r="P22" s="33">
        <v>2</v>
      </c>
      <c r="Q22" s="33">
        <v>0.6</v>
      </c>
      <c r="R22" s="33">
        <v>1.65</v>
      </c>
      <c r="S22" s="33">
        <v>3.07</v>
      </c>
      <c r="T22" s="30" t="str">
        <f t="shared" si="0"/>
        <v>true</v>
      </c>
      <c r="U22" s="30" t="str">
        <f t="shared" si="1"/>
        <v>high</v>
      </c>
      <c r="V22" s="27"/>
    </row>
    <row r="23" spans="1:22" ht="15.75" customHeight="1">
      <c r="A23" s="33">
        <v>116</v>
      </c>
      <c r="B23" s="34" t="s">
        <v>142</v>
      </c>
      <c r="C23" s="35">
        <v>41876</v>
      </c>
      <c r="D23" s="35">
        <v>41878</v>
      </c>
      <c r="E23" s="34" t="s">
        <v>143</v>
      </c>
      <c r="F23" s="34" t="s">
        <v>144</v>
      </c>
      <c r="G23" s="34" t="s">
        <v>145</v>
      </c>
      <c r="H23" s="34" t="s">
        <v>131</v>
      </c>
      <c r="I23" s="34" t="s">
        <v>132</v>
      </c>
      <c r="J23" s="34" t="s">
        <v>146</v>
      </c>
      <c r="K23" s="34" t="s">
        <v>147</v>
      </c>
      <c r="L23" s="33">
        <v>43229</v>
      </c>
      <c r="M23" s="34" t="s">
        <v>148</v>
      </c>
      <c r="N23" s="34"/>
      <c r="O23" s="33">
        <v>23.98</v>
      </c>
      <c r="P23" s="33">
        <v>3</v>
      </c>
      <c r="Q23" s="33">
        <v>0.2</v>
      </c>
      <c r="R23" s="33">
        <v>7.49</v>
      </c>
      <c r="S23" s="33">
        <v>16.48</v>
      </c>
      <c r="T23" s="30" t="str">
        <f t="shared" si="0"/>
        <v>false</v>
      </c>
      <c r="U23" s="30" t="str">
        <f t="shared" si="1"/>
        <v>low</v>
      </c>
      <c r="V23" s="27"/>
    </row>
    <row r="24" spans="1:22" ht="15.75" customHeight="1">
      <c r="A24" s="33">
        <v>117</v>
      </c>
      <c r="B24" s="34" t="s">
        <v>142</v>
      </c>
      <c r="C24" s="35">
        <v>41876</v>
      </c>
      <c r="D24" s="35">
        <v>41878</v>
      </c>
      <c r="E24" s="34" t="s">
        <v>128</v>
      </c>
      <c r="F24" s="34" t="s">
        <v>144</v>
      </c>
      <c r="G24" s="34" t="s">
        <v>145</v>
      </c>
      <c r="H24" s="34" t="s">
        <v>131</v>
      </c>
      <c r="I24" s="34" t="s">
        <v>132</v>
      </c>
      <c r="J24" s="34" t="s">
        <v>146</v>
      </c>
      <c r="K24" s="34" t="s">
        <v>147</v>
      </c>
      <c r="L24" s="33">
        <v>43229</v>
      </c>
      <c r="M24" s="34" t="s">
        <v>163</v>
      </c>
      <c r="N24" s="34"/>
      <c r="O24" s="33">
        <v>130.5</v>
      </c>
      <c r="P24" s="33">
        <v>6</v>
      </c>
      <c r="Q24" s="33">
        <v>0.2</v>
      </c>
      <c r="R24" s="33">
        <v>44.03</v>
      </c>
      <c r="S24" s="33">
        <v>86.43</v>
      </c>
      <c r="T24" s="30" t="str">
        <f t="shared" si="0"/>
        <v>false</v>
      </c>
      <c r="U24" s="30" t="str">
        <f t="shared" si="1"/>
        <v>low</v>
      </c>
      <c r="V24" s="27"/>
    </row>
    <row r="25" spans="1:22" ht="15.75" customHeight="1">
      <c r="A25" s="33">
        <v>231</v>
      </c>
      <c r="B25" s="34" t="s">
        <v>149</v>
      </c>
      <c r="C25" s="35">
        <v>41895</v>
      </c>
      <c r="D25" s="35">
        <v>41899</v>
      </c>
      <c r="E25" s="34" t="s">
        <v>128</v>
      </c>
      <c r="F25" s="34" t="s">
        <v>150</v>
      </c>
      <c r="G25" s="34" t="s">
        <v>151</v>
      </c>
      <c r="H25" s="34" t="s">
        <v>152</v>
      </c>
      <c r="I25" s="34" t="s">
        <v>132</v>
      </c>
      <c r="J25" s="34" t="s">
        <v>153</v>
      </c>
      <c r="K25" s="34" t="s">
        <v>154</v>
      </c>
      <c r="L25" s="33">
        <v>28205</v>
      </c>
      <c r="M25" s="34" t="s">
        <v>148</v>
      </c>
      <c r="N25" s="34"/>
      <c r="O25" s="33">
        <v>18.649999999999999</v>
      </c>
      <c r="P25" s="33">
        <v>7</v>
      </c>
      <c r="Q25" s="33">
        <v>0.7</v>
      </c>
      <c r="R25" s="39">
        <v>12.43</v>
      </c>
      <c r="S25" s="33">
        <v>31.08</v>
      </c>
      <c r="T25" s="30" t="str">
        <f t="shared" si="0"/>
        <v>true</v>
      </c>
      <c r="U25" s="30" t="str">
        <f t="shared" si="1"/>
        <v>high</v>
      </c>
      <c r="V25" s="27"/>
    </row>
    <row r="26" spans="1:22" ht="15.75" customHeight="1">
      <c r="A26" s="27"/>
      <c r="B26" s="27"/>
      <c r="C26" s="27"/>
      <c r="D26" s="27"/>
      <c r="E26" s="27"/>
      <c r="F26" s="27"/>
      <c r="G26" s="27"/>
      <c r="H26" s="27"/>
      <c r="I26" s="27"/>
      <c r="J26" s="27"/>
      <c r="K26" s="27"/>
      <c r="L26" s="27"/>
      <c r="M26" s="27"/>
      <c r="N26" s="27"/>
      <c r="O26" s="27"/>
      <c r="P26" s="27"/>
      <c r="Q26" s="27"/>
      <c r="R26" s="27"/>
      <c r="S26" s="27"/>
      <c r="T26" s="27"/>
      <c r="U26" s="27"/>
      <c r="V26" s="27"/>
    </row>
    <row r="27" spans="1:22" ht="15.75" customHeight="1">
      <c r="A27" s="105" t="s">
        <v>175</v>
      </c>
      <c r="B27" s="95"/>
      <c r="C27" s="95"/>
      <c r="D27" s="95"/>
      <c r="E27" s="95"/>
      <c r="F27" s="108" t="s">
        <v>176</v>
      </c>
      <c r="G27" s="95"/>
      <c r="H27" s="27"/>
      <c r="I27" s="27"/>
      <c r="J27" s="27"/>
      <c r="K27" s="27"/>
      <c r="L27" s="27"/>
      <c r="M27" s="27"/>
      <c r="N27" s="27"/>
      <c r="O27" s="27"/>
      <c r="P27" s="27"/>
      <c r="Q27" s="27"/>
      <c r="R27" s="27"/>
      <c r="S27" s="27"/>
      <c r="T27" s="27"/>
      <c r="U27" s="27"/>
      <c r="V27" s="27"/>
    </row>
    <row r="28" spans="1:22" ht="15.75" customHeight="1">
      <c r="A28" s="105" t="s">
        <v>177</v>
      </c>
      <c r="B28" s="95"/>
      <c r="C28" s="95"/>
      <c r="D28" s="95"/>
      <c r="E28" s="95"/>
      <c r="F28" s="27" t="s">
        <v>178</v>
      </c>
      <c r="G28" s="27"/>
      <c r="H28" s="27"/>
      <c r="I28" s="27"/>
      <c r="J28" s="27"/>
      <c r="K28" s="27"/>
      <c r="L28" s="27"/>
      <c r="M28" s="27"/>
      <c r="N28" s="27"/>
      <c r="O28" s="27"/>
      <c r="P28" s="27"/>
      <c r="Q28" s="27"/>
      <c r="R28" s="27"/>
      <c r="S28" s="27"/>
      <c r="T28" s="27"/>
      <c r="U28" s="27"/>
      <c r="V28" s="27"/>
    </row>
    <row r="29" spans="1:22" ht="15.75" customHeight="1">
      <c r="A29" s="27"/>
      <c r="B29" s="27"/>
      <c r="C29" s="27"/>
      <c r="D29" s="27"/>
      <c r="E29" s="27"/>
      <c r="F29" s="27"/>
      <c r="G29" s="27"/>
      <c r="H29" s="27"/>
      <c r="I29" s="27"/>
      <c r="J29" s="27"/>
      <c r="K29" s="27"/>
      <c r="L29" s="27"/>
      <c r="M29" s="27"/>
      <c r="N29" s="27"/>
      <c r="O29" s="27"/>
      <c r="P29" s="27"/>
      <c r="Q29" s="27"/>
      <c r="R29" s="27"/>
      <c r="S29" s="27"/>
      <c r="T29" s="27"/>
      <c r="U29" s="27"/>
      <c r="V29" s="27"/>
    </row>
    <row r="30" spans="1:22" ht="15.75" customHeight="1">
      <c r="A30" s="105" t="s">
        <v>179</v>
      </c>
      <c r="B30" s="95"/>
      <c r="C30" s="95"/>
      <c r="D30" s="95"/>
      <c r="E30" s="95"/>
      <c r="F30" s="95"/>
      <c r="G30" s="95"/>
      <c r="H30" s="95"/>
      <c r="I30" s="95"/>
      <c r="J30" s="95"/>
      <c r="K30" s="95"/>
      <c r="L30" s="95"/>
      <c r="M30" s="27"/>
      <c r="N30" s="27"/>
      <c r="O30" s="27"/>
      <c r="P30" s="27"/>
      <c r="Q30" s="27"/>
      <c r="R30" s="27"/>
      <c r="S30" s="27"/>
      <c r="T30" s="27"/>
      <c r="U30" s="27"/>
      <c r="V30" s="27"/>
    </row>
    <row r="31" spans="1:22" ht="15.75" customHeight="1">
      <c r="A31" s="27"/>
      <c r="B31" s="27"/>
      <c r="C31" s="27"/>
      <c r="D31" s="27"/>
      <c r="E31" s="27"/>
      <c r="F31" s="27"/>
      <c r="G31" s="27"/>
      <c r="H31" s="27"/>
      <c r="I31" s="27"/>
      <c r="J31" s="27"/>
      <c r="K31" s="27"/>
      <c r="L31" s="27"/>
      <c r="M31" s="27"/>
      <c r="N31" s="27"/>
      <c r="O31" s="27"/>
      <c r="P31" s="27"/>
      <c r="Q31" s="27"/>
      <c r="R31" s="27"/>
      <c r="S31" s="27"/>
      <c r="T31" s="27"/>
      <c r="U31" s="27"/>
      <c r="V31" s="27"/>
    </row>
    <row r="32" spans="1:22" ht="15">
      <c r="A32" s="27"/>
      <c r="B32" s="27"/>
      <c r="C32" s="27"/>
      <c r="D32" s="27"/>
      <c r="E32" s="27"/>
      <c r="F32" s="27"/>
      <c r="G32" s="27"/>
      <c r="H32" s="27"/>
      <c r="I32" s="27"/>
      <c r="J32" s="27"/>
      <c r="K32" s="27"/>
      <c r="L32" s="27"/>
      <c r="M32" s="27"/>
      <c r="N32" s="27"/>
      <c r="O32" s="27"/>
      <c r="P32" s="27"/>
      <c r="Q32" s="27"/>
      <c r="R32" s="27"/>
      <c r="S32" s="27"/>
      <c r="T32" s="27"/>
      <c r="U32" s="27"/>
      <c r="V32" s="27"/>
    </row>
    <row r="33" spans="1:22" ht="15">
      <c r="A33" s="27"/>
      <c r="B33" s="27"/>
      <c r="C33" s="27"/>
      <c r="D33" s="27"/>
      <c r="E33" s="27"/>
      <c r="F33" s="27"/>
      <c r="G33" s="27"/>
      <c r="H33" s="27"/>
      <c r="I33" s="27"/>
      <c r="J33" s="27"/>
      <c r="K33" s="27"/>
      <c r="L33" s="27"/>
      <c r="M33" s="27"/>
      <c r="N33" s="27"/>
      <c r="O33" s="27"/>
      <c r="P33" s="27"/>
      <c r="Q33" s="27"/>
      <c r="R33" s="27"/>
      <c r="S33" s="27"/>
      <c r="T33" s="27"/>
      <c r="U33" s="27"/>
      <c r="V33" s="27"/>
    </row>
    <row r="34" spans="1:22" ht="15">
      <c r="A34" s="27"/>
      <c r="B34" s="27"/>
      <c r="C34" s="27"/>
      <c r="D34" s="27"/>
      <c r="E34" s="27"/>
      <c r="F34" s="27"/>
      <c r="G34" s="27"/>
      <c r="H34" s="27"/>
      <c r="I34" s="27"/>
      <c r="J34" s="27"/>
      <c r="K34" s="27"/>
      <c r="L34" s="27"/>
      <c r="M34" s="27"/>
      <c r="N34" s="27"/>
      <c r="O34" s="27"/>
      <c r="P34" s="27"/>
      <c r="Q34" s="27"/>
      <c r="R34" s="27"/>
      <c r="S34" s="27"/>
      <c r="T34" s="27"/>
      <c r="U34" s="27"/>
      <c r="V34" s="27"/>
    </row>
  </sheetData>
  <mergeCells count="13">
    <mergeCell ref="A30:L30"/>
    <mergeCell ref="A3:E3"/>
    <mergeCell ref="A5:I5"/>
    <mergeCell ref="A7:B7"/>
    <mergeCell ref="A8:E8"/>
    <mergeCell ref="A10:F10"/>
    <mergeCell ref="K10:S10"/>
    <mergeCell ref="A12:G12"/>
    <mergeCell ref="A14:G14"/>
    <mergeCell ref="A16:B16"/>
    <mergeCell ref="A27:E27"/>
    <mergeCell ref="F27:G27"/>
    <mergeCell ref="A28:E28"/>
  </mergeCells>
  <pageMargins left="0.7" right="0.7" top="0.75" bottom="0.75" header="0.3" footer="0.3"/>
</worksheet>
</file>

<file path=xl/worksheets/sheet8.xml><?xml version="1.0" encoding="utf-8"?>
<worksheet xmlns="http://schemas.openxmlformats.org/spreadsheetml/2006/main" xmlns:r="http://schemas.openxmlformats.org/officeDocument/2006/relationships">
  <sheetPr>
    <outlinePr summaryBelow="0" summaryRight="0"/>
  </sheetPr>
  <dimension ref="A1:R31"/>
  <sheetViews>
    <sheetView topLeftCell="A10" workbookViewId="0">
      <selection activeCell="D27" sqref="D27"/>
    </sheetView>
  </sheetViews>
  <sheetFormatPr defaultColWidth="12.7109375" defaultRowHeight="15.75" customHeight="1"/>
  <sheetData>
    <row r="1" spans="1:18" ht="15.75" customHeight="1">
      <c r="A1" s="108" t="s">
        <v>180</v>
      </c>
      <c r="B1" s="95"/>
      <c r="C1" s="95"/>
      <c r="D1" s="95"/>
      <c r="E1" s="95"/>
      <c r="F1" s="95"/>
      <c r="G1" s="95"/>
      <c r="H1" s="95"/>
      <c r="I1" s="95"/>
      <c r="J1" s="95"/>
      <c r="K1" s="95"/>
      <c r="L1" s="95"/>
      <c r="M1" s="95"/>
      <c r="N1" s="95"/>
      <c r="O1" s="95"/>
      <c r="P1" s="95"/>
      <c r="Q1" s="95"/>
      <c r="R1" s="95"/>
    </row>
    <row r="2" spans="1:18" ht="15.75" customHeight="1">
      <c r="A2" s="27"/>
      <c r="B2" s="27"/>
      <c r="C2" s="27"/>
      <c r="D2" s="27"/>
      <c r="E2" s="27"/>
      <c r="F2" s="27"/>
      <c r="G2" s="27"/>
      <c r="H2" s="27"/>
      <c r="I2" s="27"/>
      <c r="J2" s="27"/>
      <c r="K2" s="27"/>
      <c r="L2" s="27"/>
      <c r="M2" s="27"/>
      <c r="N2" s="27"/>
      <c r="O2" s="27"/>
      <c r="P2" s="27"/>
      <c r="Q2" s="27"/>
      <c r="R2" s="27"/>
    </row>
    <row r="3" spans="1:18" ht="15.75" customHeight="1">
      <c r="A3" s="27" t="s">
        <v>181</v>
      </c>
      <c r="B3" s="27"/>
      <c r="C3" s="27"/>
      <c r="D3" s="27"/>
      <c r="E3" s="27"/>
      <c r="F3" s="27"/>
      <c r="G3" s="27"/>
      <c r="H3" s="27"/>
      <c r="I3" s="27"/>
      <c r="J3" s="27"/>
      <c r="K3" s="27"/>
      <c r="L3" s="27"/>
      <c r="M3" s="27"/>
      <c r="N3" s="27"/>
      <c r="O3" s="27"/>
      <c r="P3" s="27"/>
      <c r="Q3" s="27"/>
      <c r="R3" s="27"/>
    </row>
    <row r="4" spans="1:18" ht="15.75" customHeight="1">
      <c r="A4" s="27" t="s">
        <v>182</v>
      </c>
      <c r="B4" s="27"/>
      <c r="C4" s="27"/>
      <c r="D4" s="27"/>
      <c r="E4" s="27"/>
      <c r="F4" s="27"/>
      <c r="G4" s="27"/>
      <c r="H4" s="27"/>
      <c r="I4" s="27"/>
      <c r="J4" s="27"/>
      <c r="K4" s="27"/>
      <c r="L4" s="27"/>
      <c r="M4" s="27"/>
      <c r="N4" s="27"/>
      <c r="O4" s="27"/>
      <c r="P4" s="27"/>
      <c r="Q4" s="27"/>
      <c r="R4" s="27"/>
    </row>
    <row r="5" spans="1:18" ht="15.75" customHeight="1">
      <c r="A5" s="110" t="s">
        <v>183</v>
      </c>
      <c r="B5" s="95"/>
      <c r="C5" s="95"/>
      <c r="D5" s="95"/>
      <c r="E5" s="95"/>
      <c r="F5" s="95"/>
      <c r="G5" s="95"/>
      <c r="H5" s="27"/>
      <c r="I5" s="27"/>
      <c r="J5" s="27"/>
      <c r="K5" s="27"/>
      <c r="L5" s="27"/>
      <c r="M5" s="27"/>
      <c r="N5" s="27"/>
      <c r="O5" s="27"/>
      <c r="P5" s="27"/>
      <c r="Q5" s="27"/>
      <c r="R5" s="27"/>
    </row>
    <row r="6" spans="1:18" ht="15.75" customHeight="1">
      <c r="A6" s="27"/>
      <c r="B6" s="27"/>
      <c r="C6" s="27"/>
      <c r="D6" s="27"/>
      <c r="E6" s="27"/>
      <c r="F6" s="27"/>
      <c r="G6" s="27"/>
      <c r="H6" s="27"/>
      <c r="I6" s="27"/>
      <c r="J6" s="27"/>
      <c r="K6" s="27"/>
      <c r="L6" s="27"/>
      <c r="M6" s="27"/>
      <c r="N6" s="27"/>
      <c r="O6" s="27"/>
      <c r="P6" s="27"/>
      <c r="Q6" s="27"/>
      <c r="R6" s="27"/>
    </row>
    <row r="7" spans="1:18" ht="15.75" customHeight="1">
      <c r="A7" s="108" t="s">
        <v>184</v>
      </c>
      <c r="B7" s="95"/>
      <c r="C7" s="27"/>
      <c r="D7" s="27"/>
      <c r="E7" s="27"/>
      <c r="F7" s="27"/>
      <c r="G7" s="27"/>
      <c r="H7" s="27"/>
      <c r="I7" s="27"/>
      <c r="J7" s="27"/>
      <c r="K7" s="27"/>
      <c r="L7" s="27"/>
      <c r="M7" s="27"/>
      <c r="N7" s="27"/>
      <c r="O7" s="27"/>
      <c r="P7" s="27"/>
      <c r="Q7" s="27"/>
      <c r="R7" s="27"/>
    </row>
    <row r="8" spans="1:18" ht="15.75" customHeight="1">
      <c r="A8" s="27" t="s">
        <v>185</v>
      </c>
      <c r="B8" s="32" t="b">
        <v>0</v>
      </c>
      <c r="C8" s="108" t="s">
        <v>186</v>
      </c>
      <c r="D8" s="95"/>
      <c r="E8" s="27"/>
      <c r="F8" s="27"/>
      <c r="G8" s="27"/>
      <c r="H8" s="27"/>
      <c r="I8" s="27"/>
      <c r="J8" s="27"/>
      <c r="K8" s="27"/>
      <c r="L8" s="27"/>
      <c r="M8" s="27"/>
      <c r="N8" s="27"/>
      <c r="O8" s="27"/>
      <c r="P8" s="27"/>
      <c r="Q8" s="27"/>
      <c r="R8" s="27"/>
    </row>
    <row r="9" spans="1:18" ht="15.75" customHeight="1">
      <c r="A9" s="27" t="s">
        <v>187</v>
      </c>
      <c r="B9" s="32" t="b">
        <v>1</v>
      </c>
      <c r="C9" s="108" t="s">
        <v>186</v>
      </c>
      <c r="D9" s="95"/>
      <c r="E9" s="27"/>
      <c r="F9" s="27"/>
      <c r="G9" s="27"/>
      <c r="H9" s="27"/>
      <c r="I9" s="27"/>
      <c r="J9" s="27"/>
      <c r="K9" s="27"/>
      <c r="L9" s="27"/>
      <c r="M9" s="27"/>
      <c r="N9" s="27"/>
      <c r="O9" s="27"/>
      <c r="P9" s="27"/>
      <c r="Q9" s="27"/>
      <c r="R9" s="27"/>
    </row>
    <row r="10" spans="1:18" ht="15.75" customHeight="1">
      <c r="A10" s="27"/>
      <c r="B10" s="27"/>
      <c r="C10" s="27"/>
      <c r="D10" s="27"/>
      <c r="E10" s="27"/>
      <c r="F10" s="27"/>
      <c r="G10" s="27"/>
      <c r="H10" s="27"/>
      <c r="I10" s="27"/>
      <c r="J10" s="27"/>
      <c r="K10" s="27"/>
      <c r="L10" s="27"/>
      <c r="M10" s="27"/>
      <c r="N10" s="27"/>
      <c r="O10" s="27"/>
      <c r="P10" s="27"/>
      <c r="Q10" s="27"/>
      <c r="R10" s="27"/>
    </row>
    <row r="11" spans="1:18" ht="15.75" customHeight="1">
      <c r="A11" s="108" t="s">
        <v>188</v>
      </c>
      <c r="B11" s="95"/>
      <c r="C11" s="95"/>
      <c r="D11" s="95"/>
      <c r="E11" s="27"/>
      <c r="F11" s="27"/>
      <c r="G11" s="27"/>
      <c r="H11" s="27"/>
      <c r="I11" s="27"/>
      <c r="J11" s="27"/>
      <c r="K11" s="27"/>
      <c r="L11" s="27"/>
      <c r="M11" s="27"/>
      <c r="N11" s="27"/>
      <c r="O11" s="27"/>
      <c r="P11" s="27"/>
      <c r="Q11" s="27"/>
      <c r="R11" s="27"/>
    </row>
    <row r="12" spans="1:18" ht="15.75" customHeight="1">
      <c r="A12" s="27"/>
      <c r="B12" s="27"/>
      <c r="C12" s="27"/>
      <c r="D12" s="27"/>
      <c r="E12" s="27"/>
      <c r="F12" s="27"/>
      <c r="G12" s="27"/>
      <c r="H12" s="27"/>
      <c r="I12" s="27"/>
      <c r="J12" s="27"/>
      <c r="K12" s="27"/>
      <c r="L12" s="27"/>
      <c r="M12" s="27"/>
      <c r="N12" s="27"/>
      <c r="O12" s="27"/>
      <c r="P12" s="27"/>
      <c r="Q12" s="27"/>
      <c r="R12" s="27"/>
    </row>
    <row r="13" spans="1:18" ht="15.75" customHeight="1">
      <c r="A13" s="108" t="s">
        <v>189</v>
      </c>
      <c r="B13" s="95"/>
      <c r="C13" s="95"/>
      <c r="D13" s="95"/>
      <c r="E13" s="95"/>
      <c r="F13" s="95"/>
      <c r="G13" s="95"/>
      <c r="H13" s="95"/>
      <c r="I13" s="95"/>
      <c r="J13" s="95"/>
      <c r="K13" s="95"/>
      <c r="L13" s="27"/>
      <c r="M13" s="27"/>
      <c r="N13" s="27"/>
      <c r="O13" s="27"/>
      <c r="P13" s="27"/>
      <c r="Q13" s="27"/>
      <c r="R13" s="27"/>
    </row>
    <row r="14" spans="1:18" ht="15.75" customHeight="1">
      <c r="A14" s="27"/>
      <c r="B14" s="27"/>
      <c r="C14" s="27"/>
      <c r="D14" s="27"/>
      <c r="E14" s="27"/>
      <c r="F14" s="27"/>
      <c r="G14" s="27"/>
      <c r="H14" s="27"/>
      <c r="I14" s="27"/>
      <c r="J14" s="27"/>
      <c r="K14" s="27"/>
      <c r="L14" s="27"/>
      <c r="M14" s="27"/>
      <c r="N14" s="27"/>
      <c r="O14" s="27"/>
      <c r="P14" s="27"/>
      <c r="Q14" s="27"/>
      <c r="R14" s="27"/>
    </row>
    <row r="15" spans="1:18" ht="15.75" customHeight="1">
      <c r="A15" s="108" t="s">
        <v>190</v>
      </c>
      <c r="B15" s="95"/>
      <c r="C15" s="27"/>
      <c r="D15" s="27"/>
      <c r="E15" s="27"/>
      <c r="F15" s="27"/>
      <c r="G15" s="27"/>
      <c r="H15" s="27"/>
      <c r="I15" s="27"/>
      <c r="J15" s="27"/>
      <c r="K15" s="27"/>
      <c r="L15" s="27"/>
      <c r="M15" s="27"/>
      <c r="N15" s="27"/>
      <c r="O15" s="27"/>
      <c r="P15" s="27"/>
      <c r="Q15" s="27"/>
      <c r="R15" s="27"/>
    </row>
    <row r="16" spans="1:18" ht="15.75" customHeight="1">
      <c r="A16" s="110" t="s">
        <v>191</v>
      </c>
      <c r="B16" s="95"/>
      <c r="C16" s="95"/>
      <c r="D16" s="95"/>
      <c r="E16" s="27"/>
      <c r="F16" s="27"/>
      <c r="G16" s="27"/>
      <c r="H16" s="27"/>
      <c r="I16" s="27"/>
      <c r="J16" s="27"/>
      <c r="K16" s="27"/>
      <c r="L16" s="27"/>
      <c r="M16" s="27"/>
      <c r="N16" s="27"/>
      <c r="O16" s="27"/>
      <c r="P16" s="27"/>
      <c r="Q16" s="27"/>
      <c r="R16" s="27"/>
    </row>
    <row r="17" spans="1:18" ht="15.75" customHeight="1">
      <c r="A17" s="110" t="s">
        <v>192</v>
      </c>
      <c r="B17" s="95"/>
      <c r="C17" s="95"/>
      <c r="D17" s="95"/>
      <c r="E17" s="27"/>
      <c r="F17" s="27"/>
      <c r="G17" s="27"/>
      <c r="H17" s="27"/>
      <c r="I17" s="27"/>
      <c r="J17" s="27"/>
      <c r="K17" s="27"/>
      <c r="L17" s="27"/>
      <c r="M17" s="27"/>
      <c r="N17" s="27"/>
      <c r="O17" s="27"/>
      <c r="P17" s="27"/>
      <c r="Q17" s="27"/>
      <c r="R17" s="27"/>
    </row>
    <row r="18" spans="1:18" ht="15.75" customHeight="1">
      <c r="A18" s="27"/>
      <c r="B18" s="27"/>
      <c r="C18" s="27"/>
      <c r="D18" s="27"/>
      <c r="E18" s="27"/>
      <c r="F18" s="27"/>
      <c r="G18" s="27"/>
      <c r="H18" s="27"/>
      <c r="I18" s="27"/>
      <c r="J18" s="27"/>
      <c r="K18" s="27"/>
      <c r="L18" s="27"/>
      <c r="M18" s="27"/>
      <c r="N18" s="27"/>
      <c r="O18" s="27"/>
      <c r="P18" s="27"/>
      <c r="Q18" s="27"/>
      <c r="R18" s="27"/>
    </row>
    <row r="19" spans="1:18" ht="15.75" customHeight="1">
      <c r="A19" s="108" t="s">
        <v>193</v>
      </c>
      <c r="B19" s="95"/>
      <c r="C19" s="95"/>
      <c r="D19" s="95"/>
      <c r="E19" s="95"/>
      <c r="F19" s="95"/>
      <c r="G19" s="95"/>
      <c r="H19" s="95"/>
      <c r="I19" s="95"/>
      <c r="J19" s="95"/>
      <c r="K19" s="95"/>
      <c r="L19" s="27"/>
      <c r="M19" s="27"/>
      <c r="N19" s="27"/>
      <c r="O19" s="27"/>
      <c r="P19" s="27"/>
      <c r="Q19" s="27"/>
      <c r="R19" s="27"/>
    </row>
    <row r="20" spans="1:18" ht="15.75" customHeight="1">
      <c r="A20" s="27"/>
      <c r="B20" s="27"/>
      <c r="C20" s="27"/>
      <c r="D20" s="27"/>
      <c r="E20" s="27"/>
      <c r="F20" s="27"/>
      <c r="G20" s="27"/>
      <c r="H20" s="27"/>
      <c r="I20" s="27"/>
      <c r="J20" s="27"/>
      <c r="K20" s="27"/>
      <c r="L20" s="27"/>
      <c r="M20" s="27"/>
      <c r="N20" s="27"/>
      <c r="O20" s="27"/>
      <c r="P20" s="27"/>
      <c r="Q20" s="27"/>
      <c r="R20" s="27"/>
    </row>
    <row r="21" spans="1:18" ht="15.75" customHeight="1">
      <c r="A21" s="108" t="s">
        <v>194</v>
      </c>
      <c r="B21" s="95"/>
      <c r="C21" s="95"/>
      <c r="D21" s="95"/>
      <c r="E21" s="27"/>
      <c r="F21" s="27"/>
      <c r="G21" s="27"/>
      <c r="H21" s="27"/>
      <c r="I21" s="27"/>
      <c r="J21" s="27"/>
      <c r="K21" s="27"/>
      <c r="L21" s="27"/>
      <c r="M21" s="27"/>
      <c r="N21" s="27"/>
      <c r="O21" s="27"/>
      <c r="P21" s="27"/>
      <c r="Q21" s="27"/>
      <c r="R21" s="27"/>
    </row>
    <row r="22" spans="1:18" ht="15.75" customHeight="1">
      <c r="A22" s="27"/>
      <c r="B22" s="27"/>
      <c r="C22" s="27"/>
      <c r="D22" s="27"/>
      <c r="E22" s="27"/>
      <c r="F22" s="27"/>
      <c r="G22" s="27"/>
      <c r="H22" s="27"/>
      <c r="I22" s="27"/>
      <c r="J22" s="27"/>
      <c r="K22" s="27"/>
      <c r="L22" s="27"/>
      <c r="M22" s="27"/>
      <c r="N22" s="27"/>
      <c r="O22" s="27"/>
      <c r="P22" s="27"/>
      <c r="Q22" s="27"/>
      <c r="R22" s="27"/>
    </row>
    <row r="23" spans="1:18" ht="15.75" customHeight="1">
      <c r="A23" s="34"/>
      <c r="B23" s="34"/>
      <c r="C23" s="34"/>
      <c r="D23" s="34" t="s">
        <v>195</v>
      </c>
      <c r="E23" s="34" t="s">
        <v>99</v>
      </c>
      <c r="F23" s="27"/>
      <c r="G23" s="27"/>
      <c r="H23" s="27"/>
      <c r="I23" s="27"/>
      <c r="J23" s="27"/>
      <c r="K23" s="27"/>
      <c r="L23" s="27"/>
      <c r="M23" s="27"/>
      <c r="N23" s="27"/>
      <c r="O23" s="27"/>
      <c r="P23" s="27"/>
      <c r="Q23" s="27"/>
      <c r="R23" s="27"/>
    </row>
    <row r="24" spans="1:18" ht="15.75" customHeight="1">
      <c r="A24" s="34" t="s">
        <v>196</v>
      </c>
      <c r="B24" s="34" t="s">
        <v>197</v>
      </c>
      <c r="C24" s="34"/>
      <c r="D24" s="34"/>
      <c r="E24" s="42" t="b">
        <v>0</v>
      </c>
      <c r="F24" s="27"/>
      <c r="G24" s="27"/>
      <c r="H24" s="27"/>
      <c r="I24" s="27"/>
      <c r="J24" s="27"/>
      <c r="K24" s="27"/>
      <c r="L24" s="27"/>
      <c r="M24" s="27"/>
      <c r="N24" s="27"/>
      <c r="O24" s="27"/>
      <c r="P24" s="27"/>
      <c r="Q24" s="27"/>
      <c r="R24" s="27"/>
    </row>
    <row r="25" spans="1:18" ht="15.75" customHeight="1">
      <c r="A25" s="34" t="s">
        <v>198</v>
      </c>
      <c r="B25" s="34" t="s">
        <v>199</v>
      </c>
      <c r="C25" s="34"/>
      <c r="D25" s="34" t="s">
        <v>200</v>
      </c>
      <c r="E25" s="42" t="b">
        <v>1</v>
      </c>
      <c r="F25" s="27"/>
      <c r="G25" s="27"/>
      <c r="H25" s="27"/>
      <c r="I25" s="27"/>
      <c r="J25" s="27"/>
      <c r="K25" s="27"/>
      <c r="L25" s="27"/>
      <c r="M25" s="27"/>
      <c r="N25" s="27"/>
      <c r="O25" s="27"/>
      <c r="P25" s="27"/>
      <c r="Q25" s="27"/>
      <c r="R25" s="27"/>
    </row>
    <row r="26" spans="1:18" ht="15.75" customHeight="1">
      <c r="A26" s="34" t="s">
        <v>201</v>
      </c>
      <c r="B26" s="34" t="s">
        <v>202</v>
      </c>
      <c r="C26" s="34"/>
      <c r="D26" s="34"/>
      <c r="E26" s="42" t="b">
        <v>0</v>
      </c>
      <c r="F26" s="27"/>
      <c r="G26" s="27"/>
      <c r="H26" s="27"/>
      <c r="I26" s="27"/>
      <c r="J26" s="27"/>
      <c r="K26" s="27"/>
      <c r="L26" s="27"/>
      <c r="M26" s="27"/>
      <c r="N26" s="27"/>
      <c r="O26" s="27"/>
      <c r="P26" s="27"/>
      <c r="Q26" s="27"/>
      <c r="R26" s="27"/>
    </row>
    <row r="27" spans="1:18" ht="15.75" customHeight="1">
      <c r="A27" s="34" t="s">
        <v>203</v>
      </c>
      <c r="B27" s="34" t="s">
        <v>199</v>
      </c>
      <c r="C27" s="34"/>
      <c r="D27" s="34" t="s">
        <v>200</v>
      </c>
      <c r="E27" s="42" t="b">
        <v>1</v>
      </c>
      <c r="F27" s="27"/>
      <c r="G27" s="27"/>
      <c r="H27" s="27"/>
      <c r="I27" s="27"/>
      <c r="J27" s="27"/>
      <c r="K27" s="27"/>
      <c r="L27" s="27"/>
      <c r="M27" s="27"/>
      <c r="N27" s="27"/>
      <c r="O27" s="27"/>
      <c r="P27" s="27"/>
      <c r="Q27" s="27"/>
      <c r="R27" s="27"/>
    </row>
    <row r="28" spans="1:18" ht="15.75" customHeight="1">
      <c r="A28" s="34"/>
      <c r="B28" s="34"/>
      <c r="C28" s="34"/>
      <c r="D28" s="34"/>
      <c r="E28" s="34"/>
      <c r="F28" s="27"/>
      <c r="G28" s="27"/>
      <c r="H28" s="27"/>
      <c r="I28" s="27"/>
      <c r="J28" s="27"/>
      <c r="K28" s="27"/>
      <c r="L28" s="27"/>
      <c r="M28" s="27"/>
      <c r="N28" s="27"/>
      <c r="O28" s="27"/>
      <c r="P28" s="27"/>
      <c r="Q28" s="27"/>
      <c r="R28" s="27"/>
    </row>
    <row r="29" spans="1:18" ht="15.75" customHeight="1">
      <c r="A29" s="27"/>
      <c r="B29" s="27"/>
      <c r="C29" s="27"/>
      <c r="D29" s="27"/>
      <c r="E29" s="27"/>
      <c r="F29" s="27"/>
      <c r="G29" s="27"/>
      <c r="H29" s="27"/>
      <c r="I29" s="27"/>
      <c r="J29" s="27"/>
      <c r="K29" s="27"/>
      <c r="L29" s="27"/>
      <c r="M29" s="27"/>
      <c r="N29" s="27"/>
      <c r="O29" s="27"/>
      <c r="P29" s="27"/>
      <c r="Q29" s="27"/>
      <c r="R29" s="27"/>
    </row>
    <row r="30" spans="1:18" ht="15.75" customHeight="1">
      <c r="A30" s="27"/>
      <c r="B30" s="27"/>
      <c r="C30" s="27"/>
      <c r="D30" s="27"/>
      <c r="E30" s="27"/>
      <c r="F30" s="27"/>
      <c r="G30" s="27"/>
      <c r="H30" s="27"/>
      <c r="I30" s="27"/>
      <c r="J30" s="27"/>
      <c r="K30" s="27"/>
      <c r="L30" s="27"/>
      <c r="M30" s="27"/>
      <c r="N30" s="27"/>
      <c r="O30" s="27"/>
      <c r="P30" s="27"/>
      <c r="Q30" s="27"/>
      <c r="R30" s="27"/>
    </row>
    <row r="31" spans="1:18" ht="15.75" customHeight="1">
      <c r="A31" s="27"/>
      <c r="B31" s="27"/>
      <c r="C31" s="27"/>
      <c r="D31" s="27"/>
      <c r="E31" s="27"/>
      <c r="F31" s="27"/>
      <c r="G31" s="27"/>
      <c r="H31" s="27"/>
      <c r="I31" s="27"/>
      <c r="J31" s="27"/>
      <c r="K31" s="27"/>
      <c r="L31" s="27"/>
      <c r="M31" s="27"/>
      <c r="N31" s="27"/>
      <c r="O31" s="27"/>
      <c r="P31" s="27"/>
      <c r="Q31" s="27"/>
      <c r="R31" s="27"/>
    </row>
  </sheetData>
  <mergeCells count="12">
    <mergeCell ref="A15:B15"/>
    <mergeCell ref="A16:D16"/>
    <mergeCell ref="A17:D17"/>
    <mergeCell ref="A19:K19"/>
    <mergeCell ref="A21:D21"/>
    <mergeCell ref="A11:D11"/>
    <mergeCell ref="A13:K13"/>
    <mergeCell ref="A1:R1"/>
    <mergeCell ref="A5:G5"/>
    <mergeCell ref="A7:B7"/>
    <mergeCell ref="C8:D8"/>
    <mergeCell ref="C9:D9"/>
  </mergeCells>
  <pageMargins left="0.7" right="0.7" top="0.75" bottom="0.75" header="0.3" footer="0.3"/>
</worksheet>
</file>

<file path=xl/worksheets/sheet9.xml><?xml version="1.0" encoding="utf-8"?>
<worksheet xmlns="http://schemas.openxmlformats.org/spreadsheetml/2006/main" xmlns:r="http://schemas.openxmlformats.org/officeDocument/2006/relationships">
  <sheetPr>
    <outlinePr summaryBelow="0" summaryRight="0"/>
  </sheetPr>
  <dimension ref="A1:C106"/>
  <sheetViews>
    <sheetView topLeftCell="A68" workbookViewId="0">
      <selection activeCell="B88" sqref="B88"/>
    </sheetView>
  </sheetViews>
  <sheetFormatPr defaultColWidth="12.7109375" defaultRowHeight="15.75" customHeight="1"/>
  <cols>
    <col min="1" max="1" width="71.28515625" customWidth="1"/>
    <col min="2" max="2" width="20.42578125" customWidth="1"/>
    <col min="3" max="3" width="17.5703125" bestFit="1" customWidth="1"/>
  </cols>
  <sheetData>
    <row r="1" spans="1:3">
      <c r="A1" s="113" t="s">
        <v>204</v>
      </c>
      <c r="B1" s="95"/>
      <c r="C1" s="95"/>
    </row>
    <row r="2" spans="1:3">
      <c r="A2" s="113" t="s">
        <v>205</v>
      </c>
      <c r="B2" s="95"/>
      <c r="C2" s="95"/>
    </row>
    <row r="3" spans="1:3">
      <c r="A3" s="43"/>
      <c r="B3" s="43"/>
      <c r="C3" s="43"/>
    </row>
    <row r="4" spans="1:3">
      <c r="A4" s="113" t="s">
        <v>206</v>
      </c>
      <c r="B4" s="95"/>
      <c r="C4" s="43"/>
    </row>
    <row r="5" spans="1:3">
      <c r="A5" s="43"/>
      <c r="B5" s="43"/>
      <c r="C5" s="43"/>
    </row>
    <row r="6" spans="1:3">
      <c r="A6" s="44" t="s">
        <v>207</v>
      </c>
      <c r="B6" s="43"/>
      <c r="C6" s="43"/>
    </row>
    <row r="7" spans="1:3">
      <c r="A7" s="114" t="s">
        <v>208</v>
      </c>
      <c r="B7" s="95"/>
      <c r="C7" s="95"/>
    </row>
    <row r="8" spans="1:3">
      <c r="A8" s="46" t="s">
        <v>107</v>
      </c>
      <c r="B8" s="43"/>
      <c r="C8" s="43"/>
    </row>
    <row r="9" spans="1:3">
      <c r="A9" s="45" t="s">
        <v>209</v>
      </c>
      <c r="B9" s="43"/>
      <c r="C9" s="43"/>
    </row>
    <row r="10" spans="1:3">
      <c r="A10" s="43"/>
      <c r="B10" s="43"/>
      <c r="C10" s="43"/>
    </row>
    <row r="11" spans="1:3">
      <c r="A11" s="43" t="s">
        <v>210</v>
      </c>
      <c r="B11" s="43"/>
      <c r="C11" s="43"/>
    </row>
    <row r="12" spans="1:3">
      <c r="A12" s="47" t="s">
        <v>211</v>
      </c>
      <c r="B12" s="47" t="str">
        <f>PROPER(A12)</f>
        <v>Dorothy Wardle</v>
      </c>
      <c r="C12" s="43"/>
    </row>
    <row r="13" spans="1:3">
      <c r="A13" s="47" t="s">
        <v>212</v>
      </c>
      <c r="B13" s="47" t="str">
        <f t="shared" ref="B13:B16" si="0">PROPER(A13)</f>
        <v>Victoria Brennan</v>
      </c>
      <c r="C13" s="43"/>
    </row>
    <row r="14" spans="1:3">
      <c r="A14" s="47" t="s">
        <v>213</v>
      </c>
      <c r="B14" s="47" t="str">
        <f t="shared" si="0"/>
        <v>Christine Abelman</v>
      </c>
      <c r="C14" s="43"/>
    </row>
    <row r="15" spans="1:3">
      <c r="A15" s="47" t="s">
        <v>214</v>
      </c>
      <c r="B15" s="47" t="str">
        <f t="shared" si="0"/>
        <v>Janet Martin</v>
      </c>
      <c r="C15" s="43"/>
    </row>
    <row r="16" spans="1:3">
      <c r="A16" s="47" t="s">
        <v>215</v>
      </c>
      <c r="B16" s="47" t="str">
        <f t="shared" si="0"/>
        <v>Ed Braxton</v>
      </c>
      <c r="C16" s="43"/>
    </row>
    <row r="17" spans="1:3">
      <c r="A17" s="43"/>
      <c r="B17" s="43"/>
      <c r="C17" s="43"/>
    </row>
    <row r="18" spans="1:3">
      <c r="A18" s="48" t="s">
        <v>216</v>
      </c>
      <c r="B18" s="49"/>
      <c r="C18" s="49"/>
    </row>
    <row r="19" spans="1:3">
      <c r="A19" s="111" t="s">
        <v>217</v>
      </c>
      <c r="B19" s="95"/>
      <c r="C19" s="95"/>
    </row>
    <row r="20" spans="1:3">
      <c r="A20" s="51" t="s">
        <v>107</v>
      </c>
      <c r="B20" s="49"/>
      <c r="C20" s="49"/>
    </row>
    <row r="21" spans="1:3">
      <c r="A21" s="50" t="s">
        <v>218</v>
      </c>
      <c r="B21" s="49"/>
      <c r="C21" s="49"/>
    </row>
    <row r="22" spans="1:3">
      <c r="A22" s="49"/>
      <c r="B22" s="49"/>
      <c r="C22" s="49"/>
    </row>
    <row r="23" spans="1:3">
      <c r="A23" s="49" t="s">
        <v>210</v>
      </c>
      <c r="B23" s="49"/>
      <c r="C23" s="49"/>
    </row>
    <row r="24" spans="1:3">
      <c r="A24" s="52" t="s">
        <v>211</v>
      </c>
      <c r="B24" s="52" t="str">
        <f>UPPER(A24)</f>
        <v>DOROTHY WARDLE</v>
      </c>
      <c r="C24" s="49"/>
    </row>
    <row r="25" spans="1:3">
      <c r="A25" s="52" t="s">
        <v>212</v>
      </c>
      <c r="B25" s="52" t="str">
        <f t="shared" ref="B25:B28" si="1">UPPER(A25)</f>
        <v>VICTORIA BRENNAN</v>
      </c>
      <c r="C25" s="49"/>
    </row>
    <row r="26" spans="1:3">
      <c r="A26" s="52" t="s">
        <v>213</v>
      </c>
      <c r="B26" s="52" t="str">
        <f t="shared" si="1"/>
        <v>CHRISTINE ABELMAN</v>
      </c>
      <c r="C26" s="49"/>
    </row>
    <row r="27" spans="1:3">
      <c r="A27" s="52" t="s">
        <v>214</v>
      </c>
      <c r="B27" s="52" t="str">
        <f t="shared" si="1"/>
        <v>JANET MARTIN</v>
      </c>
      <c r="C27" s="49"/>
    </row>
    <row r="28" spans="1:3">
      <c r="A28" s="52" t="s">
        <v>215</v>
      </c>
      <c r="B28" s="52" t="str">
        <f t="shared" si="1"/>
        <v>ED BRAXTON</v>
      </c>
      <c r="C28" s="49"/>
    </row>
    <row r="29" spans="1:3">
      <c r="A29" s="49"/>
      <c r="B29" s="49"/>
      <c r="C29" s="49"/>
    </row>
    <row r="30" spans="1:3">
      <c r="A30" s="48" t="s">
        <v>219</v>
      </c>
      <c r="B30" s="49"/>
      <c r="C30" s="49"/>
    </row>
    <row r="31" spans="1:3">
      <c r="A31" s="111" t="s">
        <v>220</v>
      </c>
      <c r="B31" s="95"/>
      <c r="C31" s="49"/>
    </row>
    <row r="32" spans="1:3">
      <c r="A32" s="51" t="s">
        <v>107</v>
      </c>
      <c r="B32" s="49"/>
      <c r="C32" s="49"/>
    </row>
    <row r="33" spans="1:3">
      <c r="A33" s="50" t="s">
        <v>221</v>
      </c>
      <c r="B33" s="49"/>
      <c r="C33" s="49"/>
    </row>
    <row r="34" spans="1:3">
      <c r="A34" s="49"/>
      <c r="B34" s="49"/>
      <c r="C34" s="49"/>
    </row>
    <row r="35" spans="1:3">
      <c r="A35" s="49" t="s">
        <v>110</v>
      </c>
      <c r="B35" s="49"/>
      <c r="C35" s="49"/>
    </row>
    <row r="36" spans="1:3">
      <c r="A36" s="52" t="s">
        <v>211</v>
      </c>
      <c r="B36" s="52" t="str">
        <f>LOWER(A36)</f>
        <v>dorothy wardle</v>
      </c>
      <c r="C36" s="49"/>
    </row>
    <row r="37" spans="1:3">
      <c r="A37" s="52" t="s">
        <v>212</v>
      </c>
      <c r="B37" s="52" t="str">
        <f t="shared" ref="B37:B40" si="2">LOWER(A37)</f>
        <v>victoria brennan</v>
      </c>
      <c r="C37" s="49"/>
    </row>
    <row r="38" spans="1:3">
      <c r="A38" s="52" t="s">
        <v>213</v>
      </c>
      <c r="B38" s="52" t="str">
        <f t="shared" si="2"/>
        <v>christine abelman</v>
      </c>
      <c r="C38" s="49"/>
    </row>
    <row r="39" spans="1:3">
      <c r="A39" s="52" t="s">
        <v>214</v>
      </c>
      <c r="B39" s="52" t="str">
        <f t="shared" si="2"/>
        <v>janet martin</v>
      </c>
      <c r="C39" s="49"/>
    </row>
    <row r="40" spans="1:3">
      <c r="A40" s="52" t="s">
        <v>215</v>
      </c>
      <c r="B40" s="52" t="str">
        <f t="shared" si="2"/>
        <v>ed braxton</v>
      </c>
      <c r="C40" s="49"/>
    </row>
    <row r="41" spans="1:3">
      <c r="A41" s="49"/>
      <c r="B41" s="49"/>
      <c r="C41" s="49"/>
    </row>
    <row r="42" spans="1:3">
      <c r="A42" s="1" t="s">
        <v>222</v>
      </c>
      <c r="B42" s="2"/>
      <c r="C42" s="2"/>
    </row>
    <row r="43" spans="1:3">
      <c r="A43" s="101" t="s">
        <v>223</v>
      </c>
      <c r="B43" s="95"/>
      <c r="C43" s="95"/>
    </row>
    <row r="44" spans="1:3">
      <c r="A44" s="94" t="s">
        <v>224</v>
      </c>
      <c r="B44" s="95"/>
      <c r="C44" s="95"/>
    </row>
    <row r="45" spans="1:3">
      <c r="A45" s="2" t="s">
        <v>107</v>
      </c>
      <c r="B45" s="2"/>
      <c r="C45" s="2"/>
    </row>
    <row r="46" spans="1:3">
      <c r="A46" s="7" t="s">
        <v>225</v>
      </c>
      <c r="B46" s="2"/>
      <c r="C46" s="2"/>
    </row>
    <row r="47" spans="1:3">
      <c r="A47" s="102" t="s">
        <v>226</v>
      </c>
      <c r="B47" s="95"/>
      <c r="C47" s="95"/>
    </row>
    <row r="48" spans="1:3">
      <c r="A48" s="2"/>
      <c r="B48" s="2"/>
      <c r="C48" s="2"/>
    </row>
    <row r="49" spans="1:3">
      <c r="A49" s="2" t="s">
        <v>210</v>
      </c>
      <c r="B49" s="2"/>
      <c r="C49" s="2"/>
    </row>
    <row r="50" spans="1:3">
      <c r="A50" s="53" t="s">
        <v>211</v>
      </c>
      <c r="B50" s="53" t="str">
        <f>LEFT(A50,FIND(" ",A50))</f>
        <v xml:space="preserve">doroThy </v>
      </c>
      <c r="C50" s="2"/>
    </row>
    <row r="51" spans="1:3">
      <c r="A51" s="53" t="s">
        <v>212</v>
      </c>
      <c r="B51" s="53" t="str">
        <f>LEFT(A51,FIND(" ",A51))</f>
        <v xml:space="preserve">victOriA </v>
      </c>
      <c r="C51" s="2"/>
    </row>
    <row r="52" spans="1:3">
      <c r="A52" s="53" t="s">
        <v>213</v>
      </c>
      <c r="B52" s="53" t="str">
        <f t="shared" ref="B52:B54" si="3">LEFT(A52,FIND(" ",A52))</f>
        <v xml:space="preserve">Christine </v>
      </c>
      <c r="C52" s="2"/>
    </row>
    <row r="53" spans="1:3">
      <c r="A53" s="53" t="s">
        <v>214</v>
      </c>
      <c r="B53" s="53" t="str">
        <f t="shared" si="3"/>
        <v xml:space="preserve">Janet </v>
      </c>
      <c r="C53" s="2"/>
    </row>
    <row r="54" spans="1:3">
      <c r="A54" s="53" t="s">
        <v>215</v>
      </c>
      <c r="B54" s="53" t="str">
        <f t="shared" si="3"/>
        <v xml:space="preserve">ed </v>
      </c>
      <c r="C54" s="2"/>
    </row>
    <row r="56" spans="1:3">
      <c r="A56" s="1" t="s">
        <v>227</v>
      </c>
      <c r="B56" s="2"/>
      <c r="C56" s="2"/>
    </row>
    <row r="57" spans="1:3">
      <c r="A57" s="101" t="s">
        <v>228</v>
      </c>
      <c r="B57" s="95"/>
      <c r="C57" s="95"/>
    </row>
    <row r="58" spans="1:3">
      <c r="A58" s="94" t="s">
        <v>224</v>
      </c>
      <c r="B58" s="95"/>
      <c r="C58" s="95"/>
    </row>
    <row r="59" spans="1:3">
      <c r="A59" s="3" t="s">
        <v>107</v>
      </c>
      <c r="B59" s="2"/>
      <c r="C59" s="2"/>
    </row>
    <row r="60" spans="1:3">
      <c r="A60" s="7" t="s">
        <v>229</v>
      </c>
      <c r="B60" s="2"/>
      <c r="C60" s="2"/>
    </row>
    <row r="61" spans="1:3">
      <c r="A61" s="102" t="s">
        <v>226</v>
      </c>
      <c r="B61" s="95"/>
      <c r="C61" s="95"/>
    </row>
    <row r="62" spans="1:3">
      <c r="A62" s="2"/>
      <c r="B62" s="2"/>
      <c r="C62" s="2"/>
    </row>
    <row r="63" spans="1:3">
      <c r="A63" s="2" t="s">
        <v>210</v>
      </c>
      <c r="B63" s="2"/>
      <c r="C63" s="2"/>
    </row>
    <row r="64" spans="1:3">
      <c r="A64" s="53" t="s">
        <v>211</v>
      </c>
      <c r="B64" s="53" t="str">
        <f>RIGHT(A64,LEN(A64)-FIND(" ",A64))</f>
        <v>warDlE</v>
      </c>
      <c r="C64" s="2"/>
    </row>
    <row r="65" spans="1:3">
      <c r="A65" s="53" t="s">
        <v>212</v>
      </c>
      <c r="B65" s="53" t="str">
        <f t="shared" ref="B65:B68" si="4">RIGHT(A65,LEN(A65)-FIND(" ",A65))</f>
        <v>breNNAN</v>
      </c>
      <c r="C65" s="2"/>
    </row>
    <row r="66" spans="1:3">
      <c r="A66" s="53" t="s">
        <v>213</v>
      </c>
      <c r="B66" s="53" t="str">
        <f t="shared" si="4"/>
        <v>Abelman</v>
      </c>
      <c r="C66" s="2"/>
    </row>
    <row r="67" spans="1:3">
      <c r="A67" s="53" t="s">
        <v>214</v>
      </c>
      <c r="B67" s="53" t="str">
        <f t="shared" si="4"/>
        <v>Martin</v>
      </c>
      <c r="C67" s="2"/>
    </row>
    <row r="68" spans="1:3">
      <c r="A68" s="53" t="s">
        <v>215</v>
      </c>
      <c r="B68" s="53" t="str">
        <f t="shared" si="4"/>
        <v>braxton</v>
      </c>
      <c r="C68" s="2"/>
    </row>
    <row r="70" spans="1:3">
      <c r="A70" s="1" t="s">
        <v>230</v>
      </c>
      <c r="B70" s="2"/>
      <c r="C70" s="2"/>
    </row>
    <row r="71" spans="1:3">
      <c r="A71" s="98" t="s">
        <v>231</v>
      </c>
      <c r="B71" s="95"/>
      <c r="C71" s="95"/>
    </row>
    <row r="72" spans="1:3">
      <c r="A72" s="3" t="s">
        <v>107</v>
      </c>
      <c r="B72" s="2"/>
      <c r="C72" s="2"/>
    </row>
    <row r="73" spans="1:3">
      <c r="A73" s="101" t="s">
        <v>232</v>
      </c>
      <c r="B73" s="95"/>
      <c r="C73" s="2"/>
    </row>
    <row r="74" spans="1:3">
      <c r="A74" s="18" t="s">
        <v>210</v>
      </c>
      <c r="B74" s="2"/>
      <c r="C74" s="2"/>
    </row>
    <row r="75" spans="1:3">
      <c r="A75" s="53" t="s">
        <v>233</v>
      </c>
      <c r="B75" s="53" t="s">
        <v>234</v>
      </c>
      <c r="C75" s="53" t="str">
        <f>CONCATENATE(A75,B75)</f>
        <v>DorothyWardle</v>
      </c>
    </row>
    <row r="76" spans="1:3">
      <c r="A76" s="53" t="s">
        <v>235</v>
      </c>
      <c r="B76" s="53" t="s">
        <v>236</v>
      </c>
      <c r="C76" s="53" t="str">
        <f>CONCATENATE(A76,B76)</f>
        <v>VictoriaBrennan</v>
      </c>
    </row>
    <row r="77" spans="1:3">
      <c r="A77" s="53" t="s">
        <v>237</v>
      </c>
      <c r="B77" s="53" t="s">
        <v>238</v>
      </c>
      <c r="C77" s="53" t="str">
        <f t="shared" ref="C77:C79" si="5">CONCATENATE(A77,B77)</f>
        <v>ChristineAbelman</v>
      </c>
    </row>
    <row r="78" spans="1:3">
      <c r="A78" s="54" t="s">
        <v>239</v>
      </c>
      <c r="B78" s="53" t="s">
        <v>240</v>
      </c>
      <c r="C78" s="53" t="str">
        <f t="shared" si="5"/>
        <v>JanetMartin</v>
      </c>
    </row>
    <row r="79" spans="1:3">
      <c r="A79" s="53" t="s">
        <v>241</v>
      </c>
      <c r="B79" s="53" t="s">
        <v>242</v>
      </c>
      <c r="C79" s="53" t="str">
        <f t="shared" si="5"/>
        <v>EdBraxton</v>
      </c>
    </row>
    <row r="80" spans="1:3">
      <c r="A80" s="2"/>
      <c r="B80" s="2"/>
      <c r="C80" s="2"/>
    </row>
    <row r="81" spans="1:3">
      <c r="A81" s="1" t="s">
        <v>243</v>
      </c>
      <c r="B81" s="2"/>
      <c r="C81" s="2"/>
    </row>
    <row r="82" spans="1:3">
      <c r="A82" s="101" t="s">
        <v>244</v>
      </c>
      <c r="B82" s="95"/>
      <c r="C82" s="95"/>
    </row>
    <row r="83" spans="1:3">
      <c r="A83" s="3" t="s">
        <v>107</v>
      </c>
      <c r="B83" s="2"/>
      <c r="C83" s="2"/>
    </row>
    <row r="84" spans="1:3">
      <c r="A84" s="7" t="s">
        <v>245</v>
      </c>
      <c r="B84" s="2"/>
      <c r="C84" s="2"/>
    </row>
    <row r="85" spans="1:3">
      <c r="A85" s="2"/>
      <c r="B85" s="2"/>
      <c r="C85" s="2"/>
    </row>
    <row r="86" spans="1:3">
      <c r="A86" s="2" t="s">
        <v>210</v>
      </c>
      <c r="B86" s="2"/>
      <c r="C86" s="2"/>
    </row>
    <row r="87" spans="1:3">
      <c r="A87" s="53" t="s">
        <v>246</v>
      </c>
      <c r="B87" s="53" t="str">
        <f>TRIM(A87)</f>
        <v>Dorothy Wardle</v>
      </c>
      <c r="C87" s="2"/>
    </row>
    <row r="88" spans="1:3">
      <c r="A88" s="53" t="s">
        <v>247</v>
      </c>
      <c r="B88" s="53" t="str">
        <f t="shared" ref="B88:B91" si="6">TRIM(A88)</f>
        <v>Victoria Brennan</v>
      </c>
      <c r="C88" s="2"/>
    </row>
    <row r="89" spans="1:3">
      <c r="A89" s="53" t="s">
        <v>213</v>
      </c>
      <c r="B89" s="53" t="str">
        <f t="shared" si="6"/>
        <v>Christine Abelman</v>
      </c>
      <c r="C89" s="2"/>
    </row>
    <row r="90" spans="1:3">
      <c r="A90" s="53" t="s">
        <v>214</v>
      </c>
      <c r="B90" s="53" t="str">
        <f t="shared" si="6"/>
        <v>Janet Martin</v>
      </c>
      <c r="C90" s="2"/>
    </row>
    <row r="91" spans="1:3">
      <c r="A91" s="53" t="s">
        <v>248</v>
      </c>
      <c r="B91" s="53" t="str">
        <f t="shared" si="6"/>
        <v>Ed Braxton</v>
      </c>
      <c r="C91" s="2"/>
    </row>
    <row r="92" spans="1:3">
      <c r="A92" s="2"/>
      <c r="B92" s="2"/>
      <c r="C92" s="2"/>
    </row>
    <row r="93" spans="1:3">
      <c r="A93" s="55" t="s">
        <v>249</v>
      </c>
      <c r="B93" s="56"/>
      <c r="C93" s="57"/>
    </row>
    <row r="94" spans="1:3">
      <c r="A94" s="112" t="s">
        <v>250</v>
      </c>
      <c r="B94" s="95"/>
      <c r="C94" s="95"/>
    </row>
    <row r="95" spans="1:3">
      <c r="A95" s="112" t="s">
        <v>251</v>
      </c>
      <c r="B95" s="95"/>
      <c r="C95" s="95"/>
    </row>
    <row r="96" spans="1:3">
      <c r="A96" s="56"/>
      <c r="B96" s="56"/>
      <c r="C96" s="57"/>
    </row>
    <row r="97" spans="1:3">
      <c r="A97" s="3" t="s">
        <v>107</v>
      </c>
      <c r="B97" s="2"/>
      <c r="C97" s="2"/>
    </row>
    <row r="98" spans="1:3">
      <c r="A98" s="7" t="s">
        <v>252</v>
      </c>
      <c r="B98" s="2"/>
      <c r="C98" s="2"/>
    </row>
    <row r="99" spans="1:3">
      <c r="A99" s="2"/>
      <c r="B99" s="2"/>
      <c r="C99" s="2"/>
    </row>
    <row r="100" spans="1:3">
      <c r="A100" s="2" t="s">
        <v>110</v>
      </c>
      <c r="B100" s="2"/>
      <c r="C100" s="2"/>
    </row>
    <row r="101" spans="1:3">
      <c r="A101" s="58" t="s">
        <v>253</v>
      </c>
      <c r="B101" s="59" t="s">
        <v>254</v>
      </c>
      <c r="C101" s="2"/>
    </row>
    <row r="102" spans="1:3">
      <c r="A102" s="53" t="s">
        <v>246</v>
      </c>
      <c r="B102" s="60">
        <v>14</v>
      </c>
      <c r="C102" s="61">
        <f>LEN(A102)</f>
        <v>14</v>
      </c>
    </row>
    <row r="103" spans="1:3">
      <c r="A103" s="53" t="s">
        <v>247</v>
      </c>
      <c r="B103" s="60">
        <v>16</v>
      </c>
      <c r="C103" s="61">
        <f t="shared" ref="C103:C106" si="7">LEN(A103)</f>
        <v>16</v>
      </c>
    </row>
    <row r="104" spans="1:3">
      <c r="A104" s="53" t="s">
        <v>213</v>
      </c>
      <c r="B104" s="60">
        <v>17</v>
      </c>
      <c r="C104" s="61">
        <f t="shared" si="7"/>
        <v>17</v>
      </c>
    </row>
    <row r="105" spans="1:3">
      <c r="A105" s="53" t="s">
        <v>214</v>
      </c>
      <c r="B105" s="60">
        <v>12</v>
      </c>
      <c r="C105" s="61">
        <f t="shared" si="7"/>
        <v>12</v>
      </c>
    </row>
    <row r="106" spans="1:3">
      <c r="A106" s="53" t="s">
        <v>248</v>
      </c>
      <c r="B106" s="60">
        <v>10</v>
      </c>
      <c r="C106" s="61">
        <f t="shared" si="7"/>
        <v>10</v>
      </c>
    </row>
  </sheetData>
  <mergeCells count="17">
    <mergeCell ref="A1:C1"/>
    <mergeCell ref="A2:C2"/>
    <mergeCell ref="A4:B4"/>
    <mergeCell ref="A7:C7"/>
    <mergeCell ref="A19:C19"/>
    <mergeCell ref="A31:B31"/>
    <mergeCell ref="A43:C43"/>
    <mergeCell ref="A82:C82"/>
    <mergeCell ref="A94:C94"/>
    <mergeCell ref="A95:C95"/>
    <mergeCell ref="A44:C44"/>
    <mergeCell ref="A47:C47"/>
    <mergeCell ref="A57:C57"/>
    <mergeCell ref="A58:C58"/>
    <mergeCell ref="A61:C61"/>
    <mergeCell ref="A71:C71"/>
    <mergeCell ref="A73:B73"/>
  </mergeCells>
  <pageMargins left="0.7" right="0.7" top="0.75" bottom="0.75" header="0.3" footer="0.3"/>
</worksheet>
</file>

<file path=xl/worksheets/sheet10.xml><?xml version="1.0" encoding="utf-8"?>
<worksheet xmlns="http://schemas.openxmlformats.org/spreadsheetml/2006/main" xmlns:r="http://schemas.openxmlformats.org/officeDocument/2006/relationships">
  <sheetPr>
    <outlinePr summaryBelow="0" summaryRight="0"/>
  </sheetPr>
  <dimension ref="A1:W141"/>
  <sheetViews>
    <sheetView tabSelected="1" topLeftCell="A129" workbookViewId="0">
      <selection activeCell="B152" sqref="B152"/>
    </sheetView>
  </sheetViews>
  <sheetFormatPr defaultColWidth="12.7109375" defaultRowHeight="15.75" customHeight="1"/>
  <cols>
    <col min="1" max="1" width="27.140625" style="65" customWidth="1"/>
    <col min="2" max="2" width="23" style="65" customWidth="1"/>
    <col min="3" max="3" width="17.85546875" style="65" customWidth="1"/>
    <col min="4" max="4" width="46.42578125" style="65" customWidth="1"/>
    <col min="5" max="5" width="18.28515625" style="65" bestFit="1" customWidth="1"/>
    <col min="6" max="6" width="21.28515625" style="65" bestFit="1" customWidth="1"/>
    <col min="7" max="7" width="15" style="65" bestFit="1" customWidth="1"/>
    <col min="8" max="8" width="17.140625" style="65" bestFit="1" customWidth="1"/>
    <col min="9" max="9" width="18.28515625" style="65" bestFit="1" customWidth="1"/>
    <col min="10" max="10" width="16.28515625" style="65" customWidth="1"/>
    <col min="11" max="11" width="23" style="65" bestFit="1" customWidth="1"/>
    <col min="12" max="13" width="12.7109375" style="65"/>
    <col min="14" max="17" width="12.7109375" style="65" bestFit="1" customWidth="1"/>
    <col min="18" max="18" width="19.42578125" style="65" customWidth="1"/>
    <col min="19" max="16384" width="12.7109375" style="65"/>
  </cols>
  <sheetData>
    <row r="1" spans="1:23" ht="15.75" customHeight="1">
      <c r="A1" s="62" t="s">
        <v>27</v>
      </c>
      <c r="B1" s="62" t="s">
        <v>28</v>
      </c>
      <c r="C1" s="62" t="s">
        <v>29</v>
      </c>
      <c r="D1" s="62" t="s">
        <v>30</v>
      </c>
      <c r="E1" s="62" t="s">
        <v>111</v>
      </c>
      <c r="F1" s="62" t="s">
        <v>113</v>
      </c>
      <c r="G1" s="62" t="s">
        <v>114</v>
      </c>
      <c r="H1" s="62" t="s">
        <v>116</v>
      </c>
      <c r="I1" s="62" t="s">
        <v>117</v>
      </c>
      <c r="J1" s="62" t="s">
        <v>118</v>
      </c>
      <c r="K1" s="62" t="s">
        <v>255</v>
      </c>
      <c r="L1" s="62" t="s">
        <v>119</v>
      </c>
      <c r="M1" s="62" t="s">
        <v>256</v>
      </c>
      <c r="N1" s="62" t="s">
        <v>257</v>
      </c>
      <c r="O1" s="62" t="s">
        <v>121</v>
      </c>
      <c r="P1" s="62" t="s">
        <v>122</v>
      </c>
      <c r="Q1" s="62" t="s">
        <v>123</v>
      </c>
      <c r="R1" s="62" t="s">
        <v>112</v>
      </c>
      <c r="S1" s="64" t="s">
        <v>258</v>
      </c>
      <c r="T1" s="64" t="s">
        <v>259</v>
      </c>
      <c r="U1" s="64" t="s">
        <v>260</v>
      </c>
      <c r="V1" s="64" t="s">
        <v>261</v>
      </c>
      <c r="W1" s="64" t="s">
        <v>262</v>
      </c>
    </row>
    <row r="2" spans="1:23" ht="15.75" customHeight="1">
      <c r="A2" s="66">
        <v>6100</v>
      </c>
      <c r="B2" s="66" t="s">
        <v>263</v>
      </c>
      <c r="C2" s="67">
        <v>42998</v>
      </c>
      <c r="D2" s="67">
        <v>43004</v>
      </c>
      <c r="E2" s="66" t="s">
        <v>128</v>
      </c>
      <c r="F2" s="66" t="s">
        <v>264</v>
      </c>
      <c r="G2" s="66" t="s">
        <v>131</v>
      </c>
      <c r="H2" s="66" t="s">
        <v>265</v>
      </c>
      <c r="I2" s="66" t="s">
        <v>266</v>
      </c>
      <c r="J2" s="66">
        <v>10035</v>
      </c>
      <c r="K2" s="66" t="s">
        <v>267</v>
      </c>
      <c r="L2" s="66" t="s">
        <v>135</v>
      </c>
      <c r="M2" s="66" t="s">
        <v>268</v>
      </c>
      <c r="N2" s="66">
        <v>2888.127</v>
      </c>
      <c r="O2" s="66">
        <v>11</v>
      </c>
      <c r="P2" s="68">
        <v>0.1</v>
      </c>
      <c r="Q2" s="66">
        <v>609.71569999999997</v>
      </c>
      <c r="R2" s="66" t="s">
        <v>269</v>
      </c>
      <c r="S2" s="92" t="b">
        <f>AND(H2="new york city",L2="office supplies")</f>
        <v>0</v>
      </c>
      <c r="T2" s="65" t="b">
        <f>OR(L2="furniture",G2="consumer")</f>
        <v>1</v>
      </c>
      <c r="U2" s="65" t="str">
        <f>(IF(P2&gt;60%,"true","false"))</f>
        <v>false</v>
      </c>
      <c r="V2" s="65" t="str">
        <f>IF(P2&gt;60%,"yes","no")</f>
        <v>no</v>
      </c>
      <c r="W2" s="65">
        <f>DATEDIF(C2,D2,"d")</f>
        <v>6</v>
      </c>
    </row>
    <row r="3" spans="1:23" ht="15.75" customHeight="1">
      <c r="A3" s="66">
        <v>6117</v>
      </c>
      <c r="B3" s="66" t="s">
        <v>270</v>
      </c>
      <c r="C3" s="69">
        <v>42687</v>
      </c>
      <c r="D3" s="69">
        <v>42693</v>
      </c>
      <c r="E3" s="66" t="s">
        <v>128</v>
      </c>
      <c r="F3" s="66" t="s">
        <v>271</v>
      </c>
      <c r="G3" s="66" t="s">
        <v>272</v>
      </c>
      <c r="H3" s="66" t="s">
        <v>265</v>
      </c>
      <c r="I3" s="66" t="s">
        <v>266</v>
      </c>
      <c r="J3" s="66">
        <v>10011</v>
      </c>
      <c r="K3" s="66" t="s">
        <v>273</v>
      </c>
      <c r="L3" s="66" t="s">
        <v>163</v>
      </c>
      <c r="M3" s="66" t="s">
        <v>274</v>
      </c>
      <c r="N3" s="66">
        <v>2279.96</v>
      </c>
      <c r="O3" s="66">
        <v>4</v>
      </c>
      <c r="P3" s="68">
        <v>0</v>
      </c>
      <c r="Q3" s="66">
        <v>592.78959999999995</v>
      </c>
      <c r="R3" s="66" t="s">
        <v>275</v>
      </c>
      <c r="S3" s="92" t="b">
        <f t="shared" ref="S3:S25" si="0">AND(H3="new york city",L3="office supplies")</f>
        <v>0</v>
      </c>
      <c r="T3" s="93" t="b">
        <f t="shared" ref="T3:T25" si="1">OR(L3="furniture",G3="consumer")</f>
        <v>0</v>
      </c>
      <c r="U3" s="93" t="str">
        <f t="shared" ref="U3:U25" si="2">(IF(P3&gt;60%,"true","false"))</f>
        <v>false</v>
      </c>
      <c r="V3" s="93" t="str">
        <f t="shared" ref="V3:V25" si="3">IF(P3&gt;60%,"yes","no")</f>
        <v>no</v>
      </c>
      <c r="W3" s="93">
        <f t="shared" ref="W3:W25" si="4">DATEDIF(C3,D3,"d")</f>
        <v>6</v>
      </c>
    </row>
    <row r="4" spans="1:23" ht="15.75" customHeight="1">
      <c r="A4" s="66">
        <v>6176</v>
      </c>
      <c r="B4" s="66" t="s">
        <v>276</v>
      </c>
      <c r="C4" s="67">
        <v>42268</v>
      </c>
      <c r="D4" s="67">
        <v>42273</v>
      </c>
      <c r="E4" s="66" t="s">
        <v>128</v>
      </c>
      <c r="F4" s="66" t="s">
        <v>277</v>
      </c>
      <c r="G4" s="66" t="s">
        <v>131</v>
      </c>
      <c r="H4" s="66" t="s">
        <v>278</v>
      </c>
      <c r="I4" s="66" t="s">
        <v>279</v>
      </c>
      <c r="J4" s="66">
        <v>29203</v>
      </c>
      <c r="K4" s="66" t="s">
        <v>280</v>
      </c>
      <c r="L4" s="66" t="s">
        <v>135</v>
      </c>
      <c r="M4" s="66" t="s">
        <v>268</v>
      </c>
      <c r="N4" s="66">
        <v>1690.04</v>
      </c>
      <c r="O4" s="66">
        <v>4</v>
      </c>
      <c r="P4" s="68">
        <v>0</v>
      </c>
      <c r="Q4" s="66">
        <v>422.51</v>
      </c>
      <c r="R4" s="66" t="s">
        <v>281</v>
      </c>
      <c r="S4" s="92" t="b">
        <f t="shared" si="0"/>
        <v>0</v>
      </c>
      <c r="T4" s="93" t="b">
        <f t="shared" si="1"/>
        <v>1</v>
      </c>
      <c r="U4" s="93" t="str">
        <f t="shared" si="2"/>
        <v>false</v>
      </c>
      <c r="V4" s="93" t="str">
        <f t="shared" si="3"/>
        <v>no</v>
      </c>
      <c r="W4" s="93">
        <f t="shared" si="4"/>
        <v>5</v>
      </c>
    </row>
    <row r="5" spans="1:23" ht="15.75" customHeight="1">
      <c r="A5" s="66">
        <v>6102</v>
      </c>
      <c r="B5" s="66" t="s">
        <v>263</v>
      </c>
      <c r="C5" s="67">
        <v>42998</v>
      </c>
      <c r="D5" s="67">
        <v>43004</v>
      </c>
      <c r="E5" s="66" t="s">
        <v>128</v>
      </c>
      <c r="F5" s="66" t="s">
        <v>264</v>
      </c>
      <c r="G5" s="66" t="s">
        <v>131</v>
      </c>
      <c r="H5" s="66" t="s">
        <v>265</v>
      </c>
      <c r="I5" s="66" t="s">
        <v>266</v>
      </c>
      <c r="J5" s="66">
        <v>10035</v>
      </c>
      <c r="K5" s="66" t="s">
        <v>282</v>
      </c>
      <c r="L5" s="66" t="s">
        <v>135</v>
      </c>
      <c r="M5" s="66" t="s">
        <v>268</v>
      </c>
      <c r="N5" s="66">
        <v>2254.41</v>
      </c>
      <c r="O5" s="66">
        <v>5</v>
      </c>
      <c r="P5" s="68">
        <v>0.1</v>
      </c>
      <c r="Q5" s="66">
        <v>375.73500000000001</v>
      </c>
      <c r="R5" s="66" t="s">
        <v>269</v>
      </c>
      <c r="S5" s="92" t="b">
        <f t="shared" si="0"/>
        <v>0</v>
      </c>
      <c r="T5" s="93" t="b">
        <f t="shared" si="1"/>
        <v>1</v>
      </c>
      <c r="U5" s="93" t="str">
        <f t="shared" si="2"/>
        <v>false</v>
      </c>
      <c r="V5" s="93" t="str">
        <f t="shared" si="3"/>
        <v>no</v>
      </c>
      <c r="W5" s="93">
        <f t="shared" si="4"/>
        <v>6</v>
      </c>
    </row>
    <row r="6" spans="1:23" ht="15.75" customHeight="1">
      <c r="A6" s="66">
        <v>6015</v>
      </c>
      <c r="B6" s="66" t="s">
        <v>283</v>
      </c>
      <c r="C6" s="67">
        <v>42439</v>
      </c>
      <c r="D6" s="67">
        <v>42440</v>
      </c>
      <c r="E6" s="66" t="s">
        <v>137</v>
      </c>
      <c r="F6" s="66" t="s">
        <v>284</v>
      </c>
      <c r="G6" s="66" t="s">
        <v>272</v>
      </c>
      <c r="H6" s="66" t="s">
        <v>285</v>
      </c>
      <c r="I6" s="66" t="s">
        <v>134</v>
      </c>
      <c r="J6" s="66">
        <v>90008</v>
      </c>
      <c r="K6" s="66" t="s">
        <v>286</v>
      </c>
      <c r="L6" s="66" t="s">
        <v>163</v>
      </c>
      <c r="M6" s="66" t="s">
        <v>274</v>
      </c>
      <c r="N6" s="66">
        <v>4158.9120000000003</v>
      </c>
      <c r="O6" s="66">
        <v>8</v>
      </c>
      <c r="P6" s="68">
        <v>0.2</v>
      </c>
      <c r="Q6" s="66">
        <v>363.90480000000002</v>
      </c>
      <c r="R6" s="66" t="s">
        <v>287</v>
      </c>
      <c r="S6" s="92" t="b">
        <f t="shared" si="0"/>
        <v>0</v>
      </c>
      <c r="T6" s="93" t="b">
        <f t="shared" si="1"/>
        <v>0</v>
      </c>
      <c r="U6" s="93" t="str">
        <f t="shared" si="2"/>
        <v>false</v>
      </c>
      <c r="V6" s="93" t="str">
        <f t="shared" si="3"/>
        <v>no</v>
      </c>
      <c r="W6" s="93">
        <f t="shared" si="4"/>
        <v>1</v>
      </c>
    </row>
    <row r="7" spans="1:23" ht="15.75" customHeight="1">
      <c r="A7" s="66">
        <v>6101</v>
      </c>
      <c r="B7" s="66" t="s">
        <v>263</v>
      </c>
      <c r="C7" s="67">
        <v>42998</v>
      </c>
      <c r="D7" s="67">
        <v>43004</v>
      </c>
      <c r="E7" s="66" t="s">
        <v>128</v>
      </c>
      <c r="F7" s="66" t="s">
        <v>264</v>
      </c>
      <c r="G7" s="66" t="s">
        <v>131</v>
      </c>
      <c r="H7" s="66" t="s">
        <v>265</v>
      </c>
      <c r="I7" s="66" t="s">
        <v>266</v>
      </c>
      <c r="J7" s="66">
        <v>10035</v>
      </c>
      <c r="K7" s="66" t="s">
        <v>286</v>
      </c>
      <c r="L7" s="66" t="s">
        <v>163</v>
      </c>
      <c r="M7" s="66" t="s">
        <v>274</v>
      </c>
      <c r="N7" s="66">
        <v>1299.6600000000001</v>
      </c>
      <c r="O7" s="66">
        <v>2</v>
      </c>
      <c r="P7" s="68">
        <v>0</v>
      </c>
      <c r="Q7" s="66">
        <v>350.90820000000002</v>
      </c>
      <c r="R7" s="66" t="s">
        <v>269</v>
      </c>
      <c r="S7" s="92" t="b">
        <f t="shared" si="0"/>
        <v>0</v>
      </c>
      <c r="T7" s="93" t="b">
        <f t="shared" si="1"/>
        <v>1</v>
      </c>
      <c r="U7" s="93" t="str">
        <f t="shared" si="2"/>
        <v>false</v>
      </c>
      <c r="V7" s="93" t="str">
        <f t="shared" si="3"/>
        <v>no</v>
      </c>
      <c r="W7" s="93">
        <f t="shared" si="4"/>
        <v>6</v>
      </c>
    </row>
    <row r="8" spans="1:23" ht="15.75" customHeight="1">
      <c r="A8" s="66">
        <v>6011</v>
      </c>
      <c r="B8" s="66" t="s">
        <v>288</v>
      </c>
      <c r="C8" s="69">
        <v>42368</v>
      </c>
      <c r="D8" s="67">
        <v>42372</v>
      </c>
      <c r="E8" s="66" t="s">
        <v>128</v>
      </c>
      <c r="F8" s="66" t="s">
        <v>289</v>
      </c>
      <c r="G8" s="66" t="s">
        <v>131</v>
      </c>
      <c r="H8" s="66" t="s">
        <v>285</v>
      </c>
      <c r="I8" s="66" t="s">
        <v>134</v>
      </c>
      <c r="J8" s="66">
        <v>90049</v>
      </c>
      <c r="K8" s="66" t="s">
        <v>290</v>
      </c>
      <c r="L8" s="66" t="s">
        <v>163</v>
      </c>
      <c r="M8" s="66" t="s">
        <v>291</v>
      </c>
      <c r="N8" s="66">
        <v>2548.56</v>
      </c>
      <c r="O8" s="66">
        <v>6</v>
      </c>
      <c r="P8" s="68">
        <v>0.2</v>
      </c>
      <c r="Q8" s="66">
        <v>286.71300000000002</v>
      </c>
      <c r="R8" s="66" t="s">
        <v>292</v>
      </c>
      <c r="S8" s="92" t="b">
        <f t="shared" si="0"/>
        <v>0</v>
      </c>
      <c r="T8" s="93" t="b">
        <f t="shared" si="1"/>
        <v>1</v>
      </c>
      <c r="U8" s="93" t="str">
        <f t="shared" si="2"/>
        <v>false</v>
      </c>
      <c r="V8" s="93" t="str">
        <f t="shared" si="3"/>
        <v>no</v>
      </c>
      <c r="W8" s="93">
        <f t="shared" si="4"/>
        <v>4</v>
      </c>
    </row>
    <row r="9" spans="1:23" ht="15.75" customHeight="1">
      <c r="A9" s="66">
        <v>6175</v>
      </c>
      <c r="B9" s="66" t="s">
        <v>293</v>
      </c>
      <c r="C9" s="67">
        <v>41853</v>
      </c>
      <c r="D9" s="67">
        <v>41859</v>
      </c>
      <c r="E9" s="66" t="s">
        <v>128</v>
      </c>
      <c r="F9" s="66" t="s">
        <v>294</v>
      </c>
      <c r="G9" s="66" t="s">
        <v>272</v>
      </c>
      <c r="H9" s="66" t="s">
        <v>295</v>
      </c>
      <c r="I9" s="66" t="s">
        <v>296</v>
      </c>
      <c r="J9" s="66">
        <v>65807</v>
      </c>
      <c r="K9" s="66" t="s">
        <v>297</v>
      </c>
      <c r="L9" s="66" t="s">
        <v>148</v>
      </c>
      <c r="M9" s="66" t="s">
        <v>298</v>
      </c>
      <c r="N9" s="66">
        <v>838.38</v>
      </c>
      <c r="O9" s="66">
        <v>2</v>
      </c>
      <c r="P9" s="68">
        <v>0</v>
      </c>
      <c r="Q9" s="66">
        <v>226.36259999999999</v>
      </c>
      <c r="R9" s="66" t="s">
        <v>299</v>
      </c>
      <c r="S9" s="92" t="b">
        <f t="shared" si="0"/>
        <v>0</v>
      </c>
      <c r="T9" s="93" t="b">
        <f t="shared" si="1"/>
        <v>0</v>
      </c>
      <c r="U9" s="93" t="str">
        <f t="shared" si="2"/>
        <v>false</v>
      </c>
      <c r="V9" s="93" t="str">
        <f t="shared" si="3"/>
        <v>no</v>
      </c>
      <c r="W9" s="93">
        <f t="shared" si="4"/>
        <v>6</v>
      </c>
    </row>
    <row r="10" spans="1:23" ht="15.75" customHeight="1">
      <c r="A10" s="66">
        <v>6063</v>
      </c>
      <c r="B10" s="66" t="s">
        <v>300</v>
      </c>
      <c r="C10" s="69">
        <v>42363</v>
      </c>
      <c r="D10" s="69">
        <v>42368</v>
      </c>
      <c r="E10" s="66" t="s">
        <v>143</v>
      </c>
      <c r="F10" s="66" t="s">
        <v>301</v>
      </c>
      <c r="G10" s="66" t="s">
        <v>131</v>
      </c>
      <c r="H10" s="66" t="s">
        <v>302</v>
      </c>
      <c r="I10" s="66" t="s">
        <v>134</v>
      </c>
      <c r="J10" s="66">
        <v>92037</v>
      </c>
      <c r="K10" s="66" t="s">
        <v>303</v>
      </c>
      <c r="L10" s="66" t="s">
        <v>163</v>
      </c>
      <c r="M10" s="66" t="s">
        <v>304</v>
      </c>
      <c r="N10" s="66">
        <v>1199.96</v>
      </c>
      <c r="O10" s="66">
        <v>5</v>
      </c>
      <c r="P10" s="68">
        <v>0.2</v>
      </c>
      <c r="Q10" s="66">
        <v>224.99250000000001</v>
      </c>
      <c r="R10" s="66" t="s">
        <v>305</v>
      </c>
      <c r="S10" s="92" t="b">
        <f t="shared" si="0"/>
        <v>0</v>
      </c>
      <c r="T10" s="93" t="b">
        <f t="shared" si="1"/>
        <v>1</v>
      </c>
      <c r="U10" s="93" t="str">
        <f t="shared" si="2"/>
        <v>false</v>
      </c>
      <c r="V10" s="93" t="str">
        <f t="shared" si="3"/>
        <v>no</v>
      </c>
      <c r="W10" s="93">
        <f t="shared" si="4"/>
        <v>5</v>
      </c>
    </row>
    <row r="11" spans="1:23" ht="15.75" customHeight="1">
      <c r="A11" s="66">
        <v>6191</v>
      </c>
      <c r="B11" s="66" t="s">
        <v>306</v>
      </c>
      <c r="C11" s="69">
        <v>42728</v>
      </c>
      <c r="D11" s="69">
        <v>42732</v>
      </c>
      <c r="E11" s="66" t="s">
        <v>128</v>
      </c>
      <c r="F11" s="66" t="s">
        <v>307</v>
      </c>
      <c r="G11" s="66" t="s">
        <v>131</v>
      </c>
      <c r="H11" s="66" t="s">
        <v>265</v>
      </c>
      <c r="I11" s="66" t="s">
        <v>266</v>
      </c>
      <c r="J11" s="66">
        <v>10035</v>
      </c>
      <c r="K11" s="66" t="s">
        <v>308</v>
      </c>
      <c r="L11" s="66" t="s">
        <v>135</v>
      </c>
      <c r="M11" s="66" t="s">
        <v>309</v>
      </c>
      <c r="N11" s="66">
        <v>799.56</v>
      </c>
      <c r="O11" s="66">
        <v>9</v>
      </c>
      <c r="P11" s="68">
        <v>0</v>
      </c>
      <c r="Q11" s="66">
        <v>207.88560000000001</v>
      </c>
      <c r="R11" s="66" t="s">
        <v>310</v>
      </c>
      <c r="S11" s="92" t="b">
        <f t="shared" si="0"/>
        <v>0</v>
      </c>
      <c r="T11" s="93" t="b">
        <f t="shared" si="1"/>
        <v>1</v>
      </c>
      <c r="U11" s="93" t="str">
        <f t="shared" si="2"/>
        <v>false</v>
      </c>
      <c r="V11" s="93" t="str">
        <f t="shared" si="3"/>
        <v>no</v>
      </c>
      <c r="W11" s="93">
        <f t="shared" si="4"/>
        <v>4</v>
      </c>
    </row>
    <row r="12" spans="1:23" ht="15.75" customHeight="1">
      <c r="A12" s="66">
        <v>6077</v>
      </c>
      <c r="B12" s="66" t="s">
        <v>311</v>
      </c>
      <c r="C12" s="67">
        <v>42614</v>
      </c>
      <c r="D12" s="67">
        <v>42620</v>
      </c>
      <c r="E12" s="66" t="s">
        <v>128</v>
      </c>
      <c r="F12" s="66" t="s">
        <v>312</v>
      </c>
      <c r="G12" s="66" t="s">
        <v>131</v>
      </c>
      <c r="H12" s="66" t="s">
        <v>265</v>
      </c>
      <c r="I12" s="66" t="s">
        <v>266</v>
      </c>
      <c r="J12" s="66">
        <v>10011</v>
      </c>
      <c r="K12" s="66" t="s">
        <v>313</v>
      </c>
      <c r="L12" s="66" t="s">
        <v>163</v>
      </c>
      <c r="M12" s="66" t="s">
        <v>314</v>
      </c>
      <c r="N12" s="66">
        <v>468.9</v>
      </c>
      <c r="O12" s="66">
        <v>6</v>
      </c>
      <c r="P12" s="68">
        <v>0</v>
      </c>
      <c r="Q12" s="66">
        <v>206.316</v>
      </c>
      <c r="R12" s="66" t="s">
        <v>315</v>
      </c>
      <c r="S12" s="92" t="b">
        <f t="shared" si="0"/>
        <v>0</v>
      </c>
      <c r="T12" s="93" t="b">
        <f t="shared" si="1"/>
        <v>1</v>
      </c>
      <c r="U12" s="93" t="str">
        <f t="shared" si="2"/>
        <v>false</v>
      </c>
      <c r="V12" s="93" t="str">
        <f t="shared" si="3"/>
        <v>no</v>
      </c>
      <c r="W12" s="93">
        <f t="shared" si="4"/>
        <v>6</v>
      </c>
    </row>
    <row r="13" spans="1:23" ht="15.75" customHeight="1">
      <c r="A13" s="66">
        <v>6042</v>
      </c>
      <c r="B13" s="66" t="s">
        <v>316</v>
      </c>
      <c r="C13" s="67">
        <v>43002</v>
      </c>
      <c r="D13" s="67">
        <v>43007</v>
      </c>
      <c r="E13" s="66" t="s">
        <v>128</v>
      </c>
      <c r="F13" s="66" t="s">
        <v>317</v>
      </c>
      <c r="G13" s="66" t="s">
        <v>152</v>
      </c>
      <c r="H13" s="66" t="s">
        <v>285</v>
      </c>
      <c r="I13" s="66" t="s">
        <v>134</v>
      </c>
      <c r="J13" s="66">
        <v>90008</v>
      </c>
      <c r="K13" s="66" t="s">
        <v>318</v>
      </c>
      <c r="L13" s="66" t="s">
        <v>163</v>
      </c>
      <c r="M13" s="66" t="s">
        <v>291</v>
      </c>
      <c r="N13" s="66">
        <v>506.28</v>
      </c>
      <c r="O13" s="66">
        <v>3</v>
      </c>
      <c r="P13" s="68">
        <v>0.2</v>
      </c>
      <c r="Q13" s="66">
        <v>177.19800000000001</v>
      </c>
      <c r="R13" s="66" t="s">
        <v>319</v>
      </c>
      <c r="S13" s="92" t="b">
        <f t="shared" si="0"/>
        <v>0</v>
      </c>
      <c r="T13" s="93" t="b">
        <f t="shared" si="1"/>
        <v>0</v>
      </c>
      <c r="U13" s="93" t="str">
        <f t="shared" si="2"/>
        <v>false</v>
      </c>
      <c r="V13" s="93" t="str">
        <f t="shared" si="3"/>
        <v>no</v>
      </c>
      <c r="W13" s="93">
        <f t="shared" si="4"/>
        <v>5</v>
      </c>
    </row>
    <row r="14" spans="1:23" ht="15.75" customHeight="1">
      <c r="A14" s="66">
        <v>6181</v>
      </c>
      <c r="B14" s="66" t="s">
        <v>276</v>
      </c>
      <c r="C14" s="67">
        <v>42268</v>
      </c>
      <c r="D14" s="67">
        <v>42273</v>
      </c>
      <c r="E14" s="66" t="s">
        <v>128</v>
      </c>
      <c r="F14" s="66" t="s">
        <v>277</v>
      </c>
      <c r="G14" s="66" t="s">
        <v>131</v>
      </c>
      <c r="H14" s="66" t="s">
        <v>278</v>
      </c>
      <c r="I14" s="66" t="s">
        <v>279</v>
      </c>
      <c r="J14" s="66">
        <v>29203</v>
      </c>
      <c r="K14" s="66" t="s">
        <v>320</v>
      </c>
      <c r="L14" s="66" t="s">
        <v>163</v>
      </c>
      <c r="M14" s="66" t="s">
        <v>274</v>
      </c>
      <c r="N14" s="66">
        <v>629.95000000000005</v>
      </c>
      <c r="O14" s="66">
        <v>5</v>
      </c>
      <c r="P14" s="68">
        <v>0</v>
      </c>
      <c r="Q14" s="66">
        <v>176.386</v>
      </c>
      <c r="R14" s="66" t="s">
        <v>281</v>
      </c>
      <c r="S14" s="92" t="b">
        <f t="shared" si="0"/>
        <v>0</v>
      </c>
      <c r="T14" s="93" t="b">
        <f t="shared" si="1"/>
        <v>1</v>
      </c>
      <c r="U14" s="93" t="str">
        <f t="shared" si="2"/>
        <v>false</v>
      </c>
      <c r="V14" s="93" t="str">
        <f t="shared" si="3"/>
        <v>no</v>
      </c>
      <c r="W14" s="93">
        <f t="shared" si="4"/>
        <v>5</v>
      </c>
    </row>
    <row r="15" spans="1:23" ht="15.75" customHeight="1">
      <c r="A15" s="66">
        <v>6047</v>
      </c>
      <c r="B15" s="66" t="s">
        <v>321</v>
      </c>
      <c r="C15" s="67">
        <v>42530</v>
      </c>
      <c r="D15" s="67">
        <v>42537</v>
      </c>
      <c r="E15" s="66" t="s">
        <v>128</v>
      </c>
      <c r="F15" s="66" t="s">
        <v>322</v>
      </c>
      <c r="G15" s="66" t="s">
        <v>272</v>
      </c>
      <c r="H15" s="66" t="s">
        <v>323</v>
      </c>
      <c r="I15" s="66" t="s">
        <v>324</v>
      </c>
      <c r="J15" s="66">
        <v>55407</v>
      </c>
      <c r="K15" s="66" t="s">
        <v>325</v>
      </c>
      <c r="L15" s="66" t="s">
        <v>135</v>
      </c>
      <c r="M15" s="66" t="s">
        <v>326</v>
      </c>
      <c r="N15" s="66">
        <v>692.94</v>
      </c>
      <c r="O15" s="66">
        <v>3</v>
      </c>
      <c r="P15" s="68">
        <v>0</v>
      </c>
      <c r="Q15" s="66">
        <v>173.23500000000001</v>
      </c>
      <c r="R15" s="66" t="s">
        <v>327</v>
      </c>
      <c r="S15" s="92" t="b">
        <f t="shared" si="0"/>
        <v>0</v>
      </c>
      <c r="T15" s="93" t="b">
        <f t="shared" si="1"/>
        <v>1</v>
      </c>
      <c r="U15" s="93" t="str">
        <f t="shared" si="2"/>
        <v>false</v>
      </c>
      <c r="V15" s="93" t="str">
        <f t="shared" si="3"/>
        <v>no</v>
      </c>
      <c r="W15" s="93">
        <f t="shared" si="4"/>
        <v>7</v>
      </c>
    </row>
    <row r="16" spans="1:23" ht="15.75" customHeight="1">
      <c r="A16" s="66">
        <v>6132</v>
      </c>
      <c r="B16" s="66" t="s">
        <v>328</v>
      </c>
      <c r="C16" s="69">
        <v>42000</v>
      </c>
      <c r="D16" s="69">
        <v>42004</v>
      </c>
      <c r="E16" s="66" t="s">
        <v>128</v>
      </c>
      <c r="F16" s="66" t="s">
        <v>329</v>
      </c>
      <c r="G16" s="66" t="s">
        <v>272</v>
      </c>
      <c r="H16" s="66" t="s">
        <v>265</v>
      </c>
      <c r="I16" s="66" t="s">
        <v>266</v>
      </c>
      <c r="J16" s="66">
        <v>10011</v>
      </c>
      <c r="K16" s="66" t="s">
        <v>330</v>
      </c>
      <c r="L16" s="66" t="s">
        <v>135</v>
      </c>
      <c r="M16" s="66" t="s">
        <v>268</v>
      </c>
      <c r="N16" s="66">
        <v>767.21400000000006</v>
      </c>
      <c r="O16" s="66">
        <v>14</v>
      </c>
      <c r="P16" s="68">
        <v>0.1</v>
      </c>
      <c r="Q16" s="66">
        <v>161.9674</v>
      </c>
      <c r="R16" s="66" t="s">
        <v>331</v>
      </c>
      <c r="S16" s="92" t="b">
        <f t="shared" si="0"/>
        <v>0</v>
      </c>
      <c r="T16" s="93" t="b">
        <f t="shared" si="1"/>
        <v>1</v>
      </c>
      <c r="U16" s="93" t="str">
        <f t="shared" si="2"/>
        <v>false</v>
      </c>
      <c r="V16" s="93" t="str">
        <f t="shared" si="3"/>
        <v>no</v>
      </c>
      <c r="W16" s="93">
        <f t="shared" si="4"/>
        <v>4</v>
      </c>
    </row>
    <row r="17" spans="1:23" ht="15.75" customHeight="1">
      <c r="A17" s="66">
        <v>6141</v>
      </c>
      <c r="B17" s="66" t="s">
        <v>332</v>
      </c>
      <c r="C17" s="67">
        <v>42925</v>
      </c>
      <c r="D17" s="67">
        <v>42931</v>
      </c>
      <c r="E17" s="66" t="s">
        <v>128</v>
      </c>
      <c r="F17" s="66" t="s">
        <v>333</v>
      </c>
      <c r="G17" s="66" t="s">
        <v>131</v>
      </c>
      <c r="H17" s="66" t="s">
        <v>334</v>
      </c>
      <c r="I17" s="66" t="s">
        <v>335</v>
      </c>
      <c r="J17" s="66">
        <v>6040</v>
      </c>
      <c r="K17" s="66" t="s">
        <v>336</v>
      </c>
      <c r="L17" s="66" t="s">
        <v>148</v>
      </c>
      <c r="M17" s="66" t="s">
        <v>337</v>
      </c>
      <c r="N17" s="66">
        <v>274.8</v>
      </c>
      <c r="O17" s="66">
        <v>5</v>
      </c>
      <c r="P17" s="68">
        <v>0</v>
      </c>
      <c r="Q17" s="66">
        <v>134.65199999999999</v>
      </c>
      <c r="R17" s="66" t="s">
        <v>338</v>
      </c>
      <c r="S17" s="92" t="b">
        <f t="shared" si="0"/>
        <v>0</v>
      </c>
      <c r="T17" s="93" t="b">
        <f t="shared" si="1"/>
        <v>1</v>
      </c>
      <c r="U17" s="93" t="str">
        <f t="shared" si="2"/>
        <v>false</v>
      </c>
      <c r="V17" s="93" t="str">
        <f t="shared" si="3"/>
        <v>no</v>
      </c>
      <c r="W17" s="93">
        <f t="shared" si="4"/>
        <v>6</v>
      </c>
    </row>
    <row r="18" spans="1:23" ht="15.75" customHeight="1">
      <c r="A18" s="66">
        <v>6012</v>
      </c>
      <c r="B18" s="66" t="s">
        <v>288</v>
      </c>
      <c r="C18" s="69">
        <v>42368</v>
      </c>
      <c r="D18" s="67">
        <v>42372</v>
      </c>
      <c r="E18" s="66" t="s">
        <v>128</v>
      </c>
      <c r="F18" s="66" t="s">
        <v>289</v>
      </c>
      <c r="G18" s="66" t="s">
        <v>131</v>
      </c>
      <c r="H18" s="66" t="s">
        <v>265</v>
      </c>
      <c r="I18" s="66" t="s">
        <v>134</v>
      </c>
      <c r="J18" s="66">
        <v>90049</v>
      </c>
      <c r="K18" s="66" t="s">
        <v>339</v>
      </c>
      <c r="L18" s="66" t="s">
        <v>148</v>
      </c>
      <c r="M18" s="66" t="s">
        <v>340</v>
      </c>
      <c r="N18" s="66">
        <v>271.44</v>
      </c>
      <c r="O18" s="66">
        <v>3</v>
      </c>
      <c r="P18" s="68">
        <v>0</v>
      </c>
      <c r="Q18" s="66">
        <v>122.148</v>
      </c>
      <c r="R18" s="66" t="s">
        <v>292</v>
      </c>
      <c r="S18" s="92" t="b">
        <f t="shared" si="0"/>
        <v>1</v>
      </c>
      <c r="T18" s="93" t="b">
        <f t="shared" si="1"/>
        <v>1</v>
      </c>
      <c r="U18" s="93" t="str">
        <f t="shared" si="2"/>
        <v>false</v>
      </c>
      <c r="V18" s="93" t="str">
        <f t="shared" si="3"/>
        <v>no</v>
      </c>
      <c r="W18" s="93">
        <f t="shared" si="4"/>
        <v>4</v>
      </c>
    </row>
    <row r="19" spans="1:23" ht="15.75" customHeight="1">
      <c r="A19" s="66">
        <v>6160</v>
      </c>
      <c r="B19" s="66" t="s">
        <v>341</v>
      </c>
      <c r="C19" s="67">
        <v>42707</v>
      </c>
      <c r="D19" s="67">
        <v>42713</v>
      </c>
      <c r="E19" s="66" t="s">
        <v>128</v>
      </c>
      <c r="F19" s="66" t="s">
        <v>342</v>
      </c>
      <c r="G19" s="66" t="s">
        <v>131</v>
      </c>
      <c r="H19" s="66" t="s">
        <v>285</v>
      </c>
      <c r="I19" s="66" t="s">
        <v>134</v>
      </c>
      <c r="J19" s="66">
        <v>90049</v>
      </c>
      <c r="K19" s="66" t="s">
        <v>343</v>
      </c>
      <c r="L19" s="66" t="s">
        <v>148</v>
      </c>
      <c r="M19" s="66" t="s">
        <v>298</v>
      </c>
      <c r="N19" s="66">
        <v>772.68</v>
      </c>
      <c r="O19" s="66">
        <v>4</v>
      </c>
      <c r="P19" s="68">
        <v>0</v>
      </c>
      <c r="Q19" s="66">
        <v>108.1752</v>
      </c>
      <c r="R19" s="66" t="s">
        <v>344</v>
      </c>
      <c r="S19" s="92" t="b">
        <f t="shared" si="0"/>
        <v>0</v>
      </c>
      <c r="T19" s="93" t="b">
        <f t="shared" si="1"/>
        <v>1</v>
      </c>
      <c r="U19" s="93" t="str">
        <f t="shared" si="2"/>
        <v>false</v>
      </c>
      <c r="V19" s="93" t="str">
        <f t="shared" si="3"/>
        <v>no</v>
      </c>
      <c r="W19" s="93">
        <f t="shared" si="4"/>
        <v>6</v>
      </c>
    </row>
    <row r="20" spans="1:23" ht="15.75" customHeight="1">
      <c r="A20" s="66">
        <v>6092</v>
      </c>
      <c r="B20" s="66" t="s">
        <v>263</v>
      </c>
      <c r="C20" s="67">
        <v>42998</v>
      </c>
      <c r="D20" s="67">
        <v>43004</v>
      </c>
      <c r="E20" s="66" t="s">
        <v>128</v>
      </c>
      <c r="F20" s="66" t="s">
        <v>264</v>
      </c>
      <c r="G20" s="66" t="s">
        <v>131</v>
      </c>
      <c r="H20" s="66" t="s">
        <v>265</v>
      </c>
      <c r="I20" s="66" t="s">
        <v>266</v>
      </c>
      <c r="J20" s="66">
        <v>10035</v>
      </c>
      <c r="K20" s="66" t="s">
        <v>345</v>
      </c>
      <c r="L20" s="66" t="s">
        <v>163</v>
      </c>
      <c r="M20" s="66" t="s">
        <v>314</v>
      </c>
      <c r="N20" s="66">
        <v>212.8</v>
      </c>
      <c r="O20" s="66">
        <v>2</v>
      </c>
      <c r="P20" s="68">
        <v>0</v>
      </c>
      <c r="Q20" s="66">
        <v>95.76</v>
      </c>
      <c r="R20" s="66" t="s">
        <v>269</v>
      </c>
      <c r="S20" s="92" t="b">
        <f t="shared" si="0"/>
        <v>0</v>
      </c>
      <c r="T20" s="93" t="b">
        <f t="shared" si="1"/>
        <v>1</v>
      </c>
      <c r="U20" s="93" t="str">
        <f t="shared" si="2"/>
        <v>false</v>
      </c>
      <c r="V20" s="93" t="str">
        <f t="shared" si="3"/>
        <v>no</v>
      </c>
      <c r="W20" s="93">
        <f t="shared" si="4"/>
        <v>6</v>
      </c>
    </row>
    <row r="21" spans="1:23" ht="15.75" customHeight="1">
      <c r="A21" s="66">
        <v>6046</v>
      </c>
      <c r="B21" s="66" t="s">
        <v>346</v>
      </c>
      <c r="C21" s="67">
        <v>42250</v>
      </c>
      <c r="D21" s="67">
        <v>42255</v>
      </c>
      <c r="E21" s="66" t="s">
        <v>128</v>
      </c>
      <c r="F21" s="66" t="s">
        <v>347</v>
      </c>
      <c r="G21" s="66" t="s">
        <v>152</v>
      </c>
      <c r="H21" s="66" t="s">
        <v>348</v>
      </c>
      <c r="I21" s="66" t="s">
        <v>349</v>
      </c>
      <c r="J21" s="66">
        <v>85705</v>
      </c>
      <c r="K21" s="66" t="s">
        <v>350</v>
      </c>
      <c r="L21" s="66" t="s">
        <v>135</v>
      </c>
      <c r="M21" s="66" t="s">
        <v>309</v>
      </c>
      <c r="N21" s="66">
        <v>238.15199999999999</v>
      </c>
      <c r="O21" s="66">
        <v>3</v>
      </c>
      <c r="P21" s="68">
        <v>0.2</v>
      </c>
      <c r="Q21" s="66">
        <v>89.307000000000002</v>
      </c>
      <c r="R21" s="66" t="s">
        <v>351</v>
      </c>
      <c r="S21" s="92" t="b">
        <f t="shared" si="0"/>
        <v>0</v>
      </c>
      <c r="T21" s="93" t="b">
        <f t="shared" si="1"/>
        <v>1</v>
      </c>
      <c r="U21" s="93" t="str">
        <f t="shared" si="2"/>
        <v>false</v>
      </c>
      <c r="V21" s="93" t="str">
        <f t="shared" si="3"/>
        <v>no</v>
      </c>
      <c r="W21" s="93">
        <f t="shared" si="4"/>
        <v>5</v>
      </c>
    </row>
    <row r="22" spans="1:23" ht="15.75" customHeight="1">
      <c r="A22" s="66">
        <v>6151</v>
      </c>
      <c r="B22" s="66" t="s">
        <v>352</v>
      </c>
      <c r="C22" s="67">
        <v>42468</v>
      </c>
      <c r="D22" s="67">
        <v>42471</v>
      </c>
      <c r="E22" s="66" t="s">
        <v>137</v>
      </c>
      <c r="F22" s="66" t="s">
        <v>353</v>
      </c>
      <c r="G22" s="66" t="s">
        <v>131</v>
      </c>
      <c r="H22" s="66" t="s">
        <v>146</v>
      </c>
      <c r="I22" s="66" t="s">
        <v>354</v>
      </c>
      <c r="J22" s="66">
        <v>31907</v>
      </c>
      <c r="K22" s="66" t="s">
        <v>355</v>
      </c>
      <c r="L22" s="66" t="s">
        <v>135</v>
      </c>
      <c r="M22" s="66" t="s">
        <v>356</v>
      </c>
      <c r="N22" s="66">
        <v>354.9</v>
      </c>
      <c r="O22" s="66">
        <v>5</v>
      </c>
      <c r="P22" s="68">
        <v>0</v>
      </c>
      <c r="Q22" s="66">
        <v>88.724999999999994</v>
      </c>
      <c r="R22" s="66" t="s">
        <v>357</v>
      </c>
      <c r="S22" s="92" t="b">
        <f t="shared" si="0"/>
        <v>0</v>
      </c>
      <c r="T22" s="93" t="b">
        <f t="shared" si="1"/>
        <v>1</v>
      </c>
      <c r="U22" s="93" t="str">
        <f t="shared" si="2"/>
        <v>false</v>
      </c>
      <c r="V22" s="93" t="str">
        <f t="shared" si="3"/>
        <v>no</v>
      </c>
      <c r="W22" s="93">
        <f t="shared" si="4"/>
        <v>3</v>
      </c>
    </row>
    <row r="23" spans="1:23" ht="15.75" customHeight="1">
      <c r="A23" s="66">
        <v>6052</v>
      </c>
      <c r="B23" s="66" t="s">
        <v>358</v>
      </c>
      <c r="C23" s="67">
        <v>42119</v>
      </c>
      <c r="D23" s="67">
        <v>42124</v>
      </c>
      <c r="E23" s="66" t="s">
        <v>128</v>
      </c>
      <c r="F23" s="66" t="s">
        <v>359</v>
      </c>
      <c r="G23" s="66" t="s">
        <v>131</v>
      </c>
      <c r="H23" s="66" t="s">
        <v>265</v>
      </c>
      <c r="I23" s="66" t="s">
        <v>361</v>
      </c>
      <c r="J23" s="66">
        <v>53209</v>
      </c>
      <c r="K23" s="66" t="s">
        <v>362</v>
      </c>
      <c r="L23" s="66" t="s">
        <v>148</v>
      </c>
      <c r="M23" s="66" t="s">
        <v>363</v>
      </c>
      <c r="N23" s="66">
        <v>272.39999999999998</v>
      </c>
      <c r="O23" s="66">
        <v>5</v>
      </c>
      <c r="P23" s="68">
        <v>0</v>
      </c>
      <c r="Q23" s="66">
        <v>76.272000000000006</v>
      </c>
      <c r="R23" s="66" t="s">
        <v>364</v>
      </c>
      <c r="S23" s="92" t="b">
        <f t="shared" si="0"/>
        <v>1</v>
      </c>
      <c r="T23" s="93" t="b">
        <f t="shared" si="1"/>
        <v>1</v>
      </c>
      <c r="U23" s="93" t="str">
        <f t="shared" si="2"/>
        <v>false</v>
      </c>
      <c r="V23" s="93" t="str">
        <f t="shared" si="3"/>
        <v>no</v>
      </c>
      <c r="W23" s="93">
        <f t="shared" si="4"/>
        <v>5</v>
      </c>
    </row>
    <row r="24" spans="1:23" ht="15.75" customHeight="1">
      <c r="A24" s="66">
        <v>6041</v>
      </c>
      <c r="B24" s="66" t="s">
        <v>316</v>
      </c>
      <c r="C24" s="67">
        <v>43002</v>
      </c>
      <c r="D24" s="67">
        <v>43007</v>
      </c>
      <c r="E24" s="66" t="s">
        <v>128</v>
      </c>
      <c r="F24" s="66" t="s">
        <v>317</v>
      </c>
      <c r="G24" s="66" t="s">
        <v>152</v>
      </c>
      <c r="H24" s="66" t="s">
        <v>285</v>
      </c>
      <c r="I24" s="66" t="s">
        <v>134</v>
      </c>
      <c r="J24" s="66">
        <v>90008</v>
      </c>
      <c r="K24" s="66" t="s">
        <v>365</v>
      </c>
      <c r="L24" s="66" t="s">
        <v>163</v>
      </c>
      <c r="M24" s="66" t="s">
        <v>274</v>
      </c>
      <c r="N24" s="66">
        <v>859.2</v>
      </c>
      <c r="O24" s="66">
        <v>3</v>
      </c>
      <c r="P24" s="68">
        <v>0.2</v>
      </c>
      <c r="Q24" s="66">
        <v>75.180000000000007</v>
      </c>
      <c r="R24" s="66" t="s">
        <v>319</v>
      </c>
      <c r="S24" s="92" t="b">
        <f t="shared" si="0"/>
        <v>0</v>
      </c>
      <c r="T24" s="93" t="b">
        <f t="shared" si="1"/>
        <v>0</v>
      </c>
      <c r="U24" s="93" t="str">
        <f t="shared" si="2"/>
        <v>false</v>
      </c>
      <c r="V24" s="93" t="str">
        <f t="shared" si="3"/>
        <v>no</v>
      </c>
      <c r="W24" s="93">
        <f t="shared" si="4"/>
        <v>5</v>
      </c>
    </row>
    <row r="25" spans="1:23" ht="15.75" customHeight="1">
      <c r="A25" s="66">
        <v>6143</v>
      </c>
      <c r="B25" s="66" t="s">
        <v>332</v>
      </c>
      <c r="C25" s="67">
        <v>42925</v>
      </c>
      <c r="D25" s="67">
        <v>42931</v>
      </c>
      <c r="E25" s="66" t="s">
        <v>128</v>
      </c>
      <c r="F25" s="66" t="s">
        <v>333</v>
      </c>
      <c r="G25" s="66" t="s">
        <v>131</v>
      </c>
      <c r="H25" s="66" t="s">
        <v>334</v>
      </c>
      <c r="I25" s="66" t="s">
        <v>335</v>
      </c>
      <c r="J25" s="66">
        <v>6040</v>
      </c>
      <c r="K25" s="66" t="s">
        <v>366</v>
      </c>
      <c r="L25" s="66" t="s">
        <v>163</v>
      </c>
      <c r="M25" s="66" t="s">
        <v>274</v>
      </c>
      <c r="N25" s="66">
        <v>257.98</v>
      </c>
      <c r="O25" s="66">
        <v>2</v>
      </c>
      <c r="P25" s="68">
        <v>0</v>
      </c>
      <c r="Q25" s="66">
        <v>74.8142</v>
      </c>
      <c r="R25" s="66" t="s">
        <v>338</v>
      </c>
      <c r="S25" s="92" t="b">
        <f t="shared" si="0"/>
        <v>0</v>
      </c>
      <c r="T25" s="93" t="b">
        <f t="shared" si="1"/>
        <v>1</v>
      </c>
      <c r="U25" s="93" t="str">
        <f t="shared" si="2"/>
        <v>false</v>
      </c>
      <c r="V25" s="93" t="str">
        <f t="shared" si="3"/>
        <v>no</v>
      </c>
      <c r="W25" s="93">
        <f t="shared" si="4"/>
        <v>6</v>
      </c>
    </row>
    <row r="27" spans="1:23" ht="15">
      <c r="A27" s="64" t="s">
        <v>367</v>
      </c>
    </row>
    <row r="28" spans="1:23" ht="15.75" customHeight="1">
      <c r="A28" s="66" t="s">
        <v>368</v>
      </c>
      <c r="B28" s="65" t="str">
        <f>PROPER(A28)</f>
        <v>Seth Vernon</v>
      </c>
      <c r="K28" s="70"/>
    </row>
    <row r="29" spans="1:23" ht="15.75" customHeight="1">
      <c r="A29" s="66" t="s">
        <v>369</v>
      </c>
      <c r="B29" s="72" t="str">
        <f t="shared" ref="B29:B41" si="5">PROPER(A29)</f>
        <v>Corinna Mitchell</v>
      </c>
      <c r="K29" s="70"/>
    </row>
    <row r="30" spans="1:23" ht="15.75" customHeight="1">
      <c r="A30" s="66" t="s">
        <v>370</v>
      </c>
      <c r="B30" s="72" t="str">
        <f t="shared" si="5"/>
        <v>Giulietta Baptist</v>
      </c>
      <c r="K30" s="70"/>
    </row>
    <row r="31" spans="1:23" ht="15.75" customHeight="1">
      <c r="A31" s="66" t="s">
        <v>371</v>
      </c>
      <c r="B31" s="72" t="str">
        <f t="shared" si="5"/>
        <v>Seth Vernon</v>
      </c>
      <c r="K31" s="70"/>
    </row>
    <row r="32" spans="1:23" ht="15">
      <c r="A32" s="66" t="s">
        <v>372</v>
      </c>
      <c r="B32" s="72" t="str">
        <f t="shared" si="5"/>
        <v>Karen Ferguson</v>
      </c>
      <c r="K32" s="70"/>
    </row>
    <row r="33" spans="1:13" ht="15">
      <c r="A33" s="66" t="s">
        <v>371</v>
      </c>
      <c r="B33" s="72" t="str">
        <f t="shared" si="5"/>
        <v>Seth Vernon</v>
      </c>
      <c r="K33" s="70"/>
    </row>
    <row r="34" spans="1:13" ht="15">
      <c r="A34" s="66" t="s">
        <v>373</v>
      </c>
      <c r="B34" s="72" t="str">
        <f t="shared" si="5"/>
        <v>Clay Ludtke</v>
      </c>
      <c r="K34" s="70"/>
    </row>
    <row r="35" spans="1:13" ht="15">
      <c r="A35" s="66" t="s">
        <v>374</v>
      </c>
      <c r="B35" s="72" t="str">
        <f t="shared" si="5"/>
        <v>Nick Zandusky</v>
      </c>
      <c r="K35" s="70"/>
    </row>
    <row r="36" spans="1:13" ht="15">
      <c r="A36" s="66" t="s">
        <v>375</v>
      </c>
      <c r="B36" s="72" t="str">
        <f t="shared" si="5"/>
        <v>Ralph Arnett</v>
      </c>
      <c r="K36" s="70"/>
    </row>
    <row r="37" spans="1:13" ht="15">
      <c r="A37" s="66" t="s">
        <v>376</v>
      </c>
      <c r="B37" s="72" t="str">
        <f t="shared" si="5"/>
        <v>Jessica Myrick</v>
      </c>
      <c r="K37" s="70"/>
    </row>
    <row r="38" spans="1:13" ht="15">
      <c r="A38" s="66" t="s">
        <v>377</v>
      </c>
      <c r="B38" s="72" t="str">
        <f t="shared" si="5"/>
        <v>Patrick Gardner</v>
      </c>
      <c r="K38" s="70"/>
    </row>
    <row r="39" spans="1:13" ht="15">
      <c r="A39" s="66" t="s">
        <v>378</v>
      </c>
      <c r="B39" s="72" t="str">
        <f t="shared" si="5"/>
        <v>Frank Atkinson</v>
      </c>
      <c r="K39" s="70"/>
    </row>
    <row r="40" spans="1:13" ht="15">
      <c r="A40" s="66" t="s">
        <v>370</v>
      </c>
      <c r="B40" s="72" t="str">
        <f t="shared" si="5"/>
        <v>Giulietta Baptist</v>
      </c>
      <c r="K40" s="70"/>
    </row>
    <row r="41" spans="1:13" ht="15">
      <c r="A41" s="66" t="s">
        <v>379</v>
      </c>
      <c r="B41" s="72" t="str">
        <f t="shared" si="5"/>
        <v>Benjamin Carhat</v>
      </c>
      <c r="K41" s="70"/>
    </row>
    <row r="42" spans="1:13" ht="15"/>
    <row r="43" spans="1:13" ht="15">
      <c r="A43" s="71" t="s">
        <v>380</v>
      </c>
      <c r="K43" s="116"/>
      <c r="L43" s="115"/>
    </row>
    <row r="44" spans="1:13" ht="15"/>
    <row r="45" spans="1:13" ht="15">
      <c r="A45" s="64" t="s">
        <v>381</v>
      </c>
      <c r="K45" s="115"/>
      <c r="L45" s="115"/>
      <c r="M45" s="115"/>
    </row>
    <row r="46" spans="1:13" ht="15"/>
    <row r="47" spans="1:13" ht="15">
      <c r="A47" s="62"/>
      <c r="K47" s="63"/>
    </row>
    <row r="48" spans="1:13" ht="15">
      <c r="A48" s="66" t="str">
        <f>CONCATENATE(A2," ",B2)</f>
        <v>6100 CA-2017-100111</v>
      </c>
      <c r="K48" s="70"/>
    </row>
    <row r="49" spans="1:11" ht="15">
      <c r="A49" s="66" t="str">
        <f t="shared" ref="A49:A71" si="6">CONCATENATE(A3," ",B3)</f>
        <v>6117 US-2016-113677</v>
      </c>
      <c r="K49" s="70"/>
    </row>
    <row r="50" spans="1:11" ht="15">
      <c r="A50" s="66" t="str">
        <f t="shared" si="6"/>
        <v>6176 CA-2015-158421</v>
      </c>
      <c r="K50" s="70"/>
    </row>
    <row r="51" spans="1:11" ht="15">
      <c r="A51" s="66" t="str">
        <f t="shared" si="6"/>
        <v>6102 CA-2017-100111</v>
      </c>
      <c r="K51" s="70"/>
    </row>
    <row r="52" spans="1:11" ht="15">
      <c r="A52" s="66" t="str">
        <f t="shared" si="6"/>
        <v>6015 CA-2016-159016</v>
      </c>
      <c r="K52" s="70"/>
    </row>
    <row r="53" spans="1:11" ht="15">
      <c r="A53" s="66" t="str">
        <f t="shared" si="6"/>
        <v>6101 CA-2017-100111</v>
      </c>
      <c r="K53" s="70"/>
    </row>
    <row r="54" spans="1:11" ht="15">
      <c r="A54" s="66" t="str">
        <f t="shared" si="6"/>
        <v>6011 CA-2015-135580</v>
      </c>
      <c r="K54" s="70"/>
    </row>
    <row r="55" spans="1:11" ht="15">
      <c r="A55" s="66" t="str">
        <f t="shared" si="6"/>
        <v>6175 US-2014-106299</v>
      </c>
      <c r="K55" s="70"/>
    </row>
    <row r="56" spans="1:11" ht="15">
      <c r="A56" s="66" t="str">
        <f t="shared" si="6"/>
        <v>6063 CA-2015-111780</v>
      </c>
      <c r="K56" s="70"/>
    </row>
    <row r="57" spans="1:11" ht="15">
      <c r="A57" s="66" t="str">
        <f t="shared" si="6"/>
        <v>6191 CA-2016-157259</v>
      </c>
      <c r="K57" s="70"/>
    </row>
    <row r="58" spans="1:11" ht="15">
      <c r="A58" s="66" t="str">
        <f t="shared" si="6"/>
        <v>6077 CA-2016-151561</v>
      </c>
      <c r="K58" s="70"/>
    </row>
    <row r="59" spans="1:11" ht="15">
      <c r="A59" s="66" t="str">
        <f t="shared" si="6"/>
        <v>6042 CA-2017-122364</v>
      </c>
      <c r="K59" s="70"/>
    </row>
    <row r="60" spans="1:11" ht="15">
      <c r="A60" s="66" t="str">
        <f t="shared" si="6"/>
        <v>6181 CA-2015-158421</v>
      </c>
      <c r="K60" s="70"/>
    </row>
    <row r="61" spans="1:11" ht="15">
      <c r="A61" s="66" t="str">
        <f t="shared" si="6"/>
        <v>6047 CA-2016-154662</v>
      </c>
      <c r="K61" s="70"/>
    </row>
    <row r="62" spans="1:11" ht="15">
      <c r="A62" s="66" t="str">
        <f t="shared" si="6"/>
        <v>6132 CA-2014-163447</v>
      </c>
      <c r="K62" s="70"/>
    </row>
    <row r="63" spans="1:11" ht="15">
      <c r="A63" s="66" t="str">
        <f t="shared" si="6"/>
        <v>6141 CA-2017-121083</v>
      </c>
      <c r="K63" s="70"/>
    </row>
    <row r="64" spans="1:11" ht="15">
      <c r="A64" s="66" t="str">
        <f t="shared" si="6"/>
        <v>6012 CA-2015-135580</v>
      </c>
      <c r="K64" s="70"/>
    </row>
    <row r="65" spans="1:17" ht="15">
      <c r="A65" s="66" t="str">
        <f t="shared" si="6"/>
        <v>6160 CA-2016-161025</v>
      </c>
      <c r="K65" s="70"/>
    </row>
    <row r="66" spans="1:17" ht="15">
      <c r="A66" s="66" t="str">
        <f t="shared" si="6"/>
        <v>6092 CA-2017-100111</v>
      </c>
      <c r="K66" s="70"/>
    </row>
    <row r="67" spans="1:17" ht="15">
      <c r="A67" s="66" t="str">
        <f t="shared" si="6"/>
        <v>6046 CA-2015-113215</v>
      </c>
      <c r="K67" s="70"/>
    </row>
    <row r="68" spans="1:17" ht="15">
      <c r="A68" s="66" t="str">
        <f t="shared" si="6"/>
        <v>6151 US-2016-106600</v>
      </c>
      <c r="K68" s="70"/>
    </row>
    <row r="69" spans="1:17" ht="15">
      <c r="A69" s="66" t="str">
        <f t="shared" si="6"/>
        <v>6052 CA-2015-153878</v>
      </c>
      <c r="K69" s="70"/>
    </row>
    <row r="70" spans="1:17" ht="15">
      <c r="A70" s="66" t="str">
        <f t="shared" si="6"/>
        <v>6041 CA-2017-122364</v>
      </c>
      <c r="K70" s="70"/>
    </row>
    <row r="71" spans="1:17" ht="15">
      <c r="A71" s="66" t="str">
        <f t="shared" si="6"/>
        <v>6143 CA-2017-121083</v>
      </c>
      <c r="K71" s="70"/>
    </row>
    <row r="72" spans="1:17" ht="15"/>
    <row r="73" spans="1:17" ht="15">
      <c r="A73" s="64" t="s">
        <v>382</v>
      </c>
      <c r="K73" s="115"/>
      <c r="L73" s="115"/>
      <c r="M73" s="115"/>
      <c r="N73" s="115"/>
      <c r="O73" s="115"/>
    </row>
    <row r="74" spans="1:17" ht="15">
      <c r="A74" s="64" t="s">
        <v>383</v>
      </c>
      <c r="K74" s="115"/>
      <c r="L74" s="115"/>
      <c r="M74" s="115"/>
      <c r="N74" s="115"/>
      <c r="O74" s="115"/>
      <c r="P74" s="115"/>
      <c r="Q74" s="115"/>
    </row>
    <row r="75" spans="1:17" ht="15">
      <c r="A75" s="64" t="s">
        <v>384</v>
      </c>
      <c r="K75" s="115"/>
      <c r="L75" s="115"/>
      <c r="M75" s="115"/>
    </row>
    <row r="76" spans="1:17" ht="15">
      <c r="A76" s="64" t="s">
        <v>385</v>
      </c>
      <c r="K76" s="115"/>
      <c r="L76" s="115"/>
      <c r="M76" s="115"/>
      <c r="N76" s="115"/>
    </row>
    <row r="77" spans="1:17" ht="15"/>
    <row r="78" spans="1:17" ht="15">
      <c r="A78" s="64" t="s">
        <v>386</v>
      </c>
      <c r="K78" s="115"/>
      <c r="L78" s="115"/>
      <c r="M78" s="115"/>
    </row>
    <row r="79" spans="1:17" ht="15">
      <c r="A79" s="64" t="s">
        <v>387</v>
      </c>
      <c r="K79" s="115"/>
      <c r="L79" s="115"/>
      <c r="M79" s="115"/>
      <c r="N79" s="115"/>
    </row>
    <row r="80" spans="1:17" ht="15"/>
    <row r="81" spans="1:5" ht="15">
      <c r="A81" s="64" t="s">
        <v>388</v>
      </c>
      <c r="E81" s="89">
        <f>SUMIFS(N2:N25,G2:G25,G2,H2:H25,H23,L2:L25,L23)</f>
        <v>543.83999999999992</v>
      </c>
    </row>
    <row r="83" spans="1:5" ht="15.75" customHeight="1">
      <c r="A83" s="65" t="s">
        <v>389</v>
      </c>
    </row>
    <row r="85" spans="1:5" ht="15.75" customHeight="1">
      <c r="A85" s="74" t="s">
        <v>390</v>
      </c>
      <c r="B85" s="74">
        <f t="shared" ref="B85:B87" si="7">SUMIFS(N2:N25,L2:L25,L2,G2:G25,G13,H2:H25,H23)</f>
        <v>0</v>
      </c>
    </row>
    <row r="86" spans="1:5" ht="15.75" customHeight="1">
      <c r="A86" s="74" t="s">
        <v>285</v>
      </c>
      <c r="B86" s="74">
        <f t="shared" si="7"/>
        <v>2548.56</v>
      </c>
    </row>
    <row r="87" spans="1:5" ht="15.75" customHeight="1">
      <c r="A87" s="74" t="s">
        <v>348</v>
      </c>
      <c r="B87" s="74">
        <f t="shared" si="7"/>
        <v>0</v>
      </c>
    </row>
    <row r="89" spans="1:5" ht="15.75" customHeight="1">
      <c r="A89" s="65" t="s">
        <v>391</v>
      </c>
    </row>
    <row r="90" spans="1:5" ht="15.75" customHeight="1">
      <c r="A90" s="62" t="s">
        <v>113</v>
      </c>
      <c r="B90" s="76" t="s">
        <v>392</v>
      </c>
      <c r="C90" s="76" t="s">
        <v>393</v>
      </c>
    </row>
    <row r="91" spans="1:5" ht="15.75" customHeight="1">
      <c r="A91" s="75" t="s">
        <v>264</v>
      </c>
      <c r="B91" s="73" t="str">
        <f>LEFT(A91,LEN(A91)-FIND(" ",A91))</f>
        <v>Seth V</v>
      </c>
      <c r="C91" s="73" t="str">
        <f>RIGHT(A91,LEN(A91)-FIND(" ",A91))</f>
        <v>Vernon</v>
      </c>
    </row>
    <row r="92" spans="1:5" ht="15.75" customHeight="1">
      <c r="A92" s="75" t="s">
        <v>271</v>
      </c>
      <c r="B92" s="73" t="str">
        <f t="shared" ref="B92:B114" si="8">LEFT(A92,LEN(A92)-FIND(" ",A92))</f>
        <v xml:space="preserve">Corinna </v>
      </c>
      <c r="C92" s="73" t="str">
        <f t="shared" ref="C92:C114" si="9">RIGHT(A92,LEN(A92)-FIND(" ",A92))</f>
        <v>Mitchell</v>
      </c>
    </row>
    <row r="93" spans="1:5" ht="15.75" customHeight="1">
      <c r="A93" s="75" t="s">
        <v>277</v>
      </c>
      <c r="B93" s="73" t="str">
        <f t="shared" si="8"/>
        <v>Giuliet</v>
      </c>
      <c r="C93" s="73" t="str">
        <f t="shared" si="9"/>
        <v>Baptist</v>
      </c>
    </row>
    <row r="94" spans="1:5" ht="15.75" customHeight="1">
      <c r="A94" s="75" t="s">
        <v>264</v>
      </c>
      <c r="B94" s="73" t="str">
        <f t="shared" si="8"/>
        <v>Seth V</v>
      </c>
      <c r="C94" s="73" t="str">
        <f t="shared" si="9"/>
        <v>Vernon</v>
      </c>
    </row>
    <row r="95" spans="1:5" ht="15.75" customHeight="1">
      <c r="A95" s="75" t="s">
        <v>284</v>
      </c>
      <c r="B95" s="73" t="str">
        <f t="shared" si="8"/>
        <v>Karen Fe</v>
      </c>
      <c r="C95" s="73" t="str">
        <f t="shared" si="9"/>
        <v>Ferguson</v>
      </c>
    </row>
    <row r="96" spans="1:5" ht="15.75" customHeight="1">
      <c r="A96" s="75" t="s">
        <v>264</v>
      </c>
      <c r="B96" s="73" t="str">
        <f t="shared" si="8"/>
        <v>Seth V</v>
      </c>
      <c r="C96" s="73" t="str">
        <f t="shared" si="9"/>
        <v>Vernon</v>
      </c>
    </row>
    <row r="97" spans="1:3" ht="15.75" customHeight="1">
      <c r="A97" s="75" t="s">
        <v>289</v>
      </c>
      <c r="B97" s="73" t="str">
        <f t="shared" si="8"/>
        <v>Clay L</v>
      </c>
      <c r="C97" s="73" t="str">
        <f t="shared" si="9"/>
        <v>Ludtke</v>
      </c>
    </row>
    <row r="98" spans="1:3" ht="15.75" customHeight="1">
      <c r="A98" s="75" t="s">
        <v>294</v>
      </c>
      <c r="B98" s="73" t="str">
        <f t="shared" si="8"/>
        <v>Nick Zan</v>
      </c>
      <c r="C98" s="73" t="str">
        <f t="shared" si="9"/>
        <v>Zandusky</v>
      </c>
    </row>
    <row r="99" spans="1:3" ht="15.75" customHeight="1">
      <c r="A99" s="75" t="s">
        <v>301</v>
      </c>
      <c r="B99" s="73" t="str">
        <f t="shared" si="8"/>
        <v xml:space="preserve">Ralph </v>
      </c>
      <c r="C99" s="73" t="str">
        <f t="shared" si="9"/>
        <v>Arnett</v>
      </c>
    </row>
    <row r="100" spans="1:3" ht="15.75" customHeight="1">
      <c r="A100" s="75" t="s">
        <v>307</v>
      </c>
      <c r="B100" s="73" t="str">
        <f t="shared" si="8"/>
        <v>Jessic</v>
      </c>
      <c r="C100" s="73" t="str">
        <f t="shared" si="9"/>
        <v>Myrick</v>
      </c>
    </row>
    <row r="101" spans="1:3" ht="15.75" customHeight="1">
      <c r="A101" s="75" t="s">
        <v>312</v>
      </c>
      <c r="B101" s="73" t="str">
        <f t="shared" si="8"/>
        <v>Patrick</v>
      </c>
      <c r="C101" s="73" t="str">
        <f t="shared" si="9"/>
        <v>Gardner</v>
      </c>
    </row>
    <row r="102" spans="1:3" ht="15.75" customHeight="1">
      <c r="A102" s="75" t="s">
        <v>317</v>
      </c>
      <c r="B102" s="73" t="str">
        <f t="shared" si="8"/>
        <v>Frank At</v>
      </c>
      <c r="C102" s="73" t="str">
        <f t="shared" si="9"/>
        <v>Atkinson</v>
      </c>
    </row>
    <row r="103" spans="1:3" ht="15.75" customHeight="1">
      <c r="A103" s="75" t="s">
        <v>277</v>
      </c>
      <c r="B103" s="73" t="str">
        <f t="shared" si="8"/>
        <v>Giuliet</v>
      </c>
      <c r="C103" s="73" t="str">
        <f t="shared" si="9"/>
        <v>Baptist</v>
      </c>
    </row>
    <row r="104" spans="1:3" ht="15.75" customHeight="1">
      <c r="A104" s="75" t="s">
        <v>322</v>
      </c>
      <c r="B104" s="73" t="str">
        <f t="shared" si="8"/>
        <v>Benjam</v>
      </c>
      <c r="C104" s="73" t="str">
        <f t="shared" si="9"/>
        <v>Farhat</v>
      </c>
    </row>
    <row r="105" spans="1:3" ht="15.75" customHeight="1">
      <c r="A105" s="75" t="s">
        <v>329</v>
      </c>
      <c r="B105" s="73" t="str">
        <f t="shared" si="8"/>
        <v xml:space="preserve">Thomas </v>
      </c>
      <c r="C105" s="73" t="str">
        <f t="shared" si="9"/>
        <v>Brumley</v>
      </c>
    </row>
    <row r="106" spans="1:3" ht="15.75" customHeight="1">
      <c r="A106" s="75" t="s">
        <v>333</v>
      </c>
      <c r="B106" s="73" t="str">
        <f t="shared" si="8"/>
        <v xml:space="preserve">Jamie </v>
      </c>
      <c r="C106" s="73" t="str">
        <f t="shared" si="9"/>
        <v>Frazer</v>
      </c>
    </row>
    <row r="107" spans="1:3" ht="15.75" customHeight="1">
      <c r="A107" s="75" t="s">
        <v>289</v>
      </c>
      <c r="B107" s="73" t="str">
        <f t="shared" si="8"/>
        <v>Clay L</v>
      </c>
      <c r="C107" s="73" t="str">
        <f t="shared" si="9"/>
        <v>Ludtke</v>
      </c>
    </row>
    <row r="108" spans="1:3" ht="15.75" customHeight="1">
      <c r="A108" s="75" t="s">
        <v>342</v>
      </c>
      <c r="B108" s="73" t="str">
        <f t="shared" si="8"/>
        <v>Gary M</v>
      </c>
      <c r="C108" s="73" t="str">
        <f t="shared" si="9"/>
        <v>McGarr</v>
      </c>
    </row>
    <row r="109" spans="1:3" ht="15.75" customHeight="1">
      <c r="A109" s="75" t="s">
        <v>264</v>
      </c>
      <c r="B109" s="73" t="str">
        <f t="shared" si="8"/>
        <v>Seth V</v>
      </c>
      <c r="C109" s="73" t="str">
        <f t="shared" si="9"/>
        <v>Vernon</v>
      </c>
    </row>
    <row r="110" spans="1:3" ht="15.75" customHeight="1">
      <c r="A110" s="75" t="s">
        <v>347</v>
      </c>
      <c r="B110" s="73" t="str">
        <f t="shared" si="8"/>
        <v>Cathy Pr</v>
      </c>
      <c r="C110" s="73" t="str">
        <f t="shared" si="9"/>
        <v>Prescott</v>
      </c>
    </row>
    <row r="111" spans="1:3" ht="15.75" customHeight="1">
      <c r="A111" s="75" t="s">
        <v>353</v>
      </c>
      <c r="B111" s="73" t="str">
        <f t="shared" si="8"/>
        <v>Raymo</v>
      </c>
      <c r="C111" s="73" t="str">
        <f t="shared" si="9"/>
        <v>Messe</v>
      </c>
    </row>
    <row r="112" spans="1:3" ht="15.75" customHeight="1">
      <c r="A112" s="75" t="s">
        <v>359</v>
      </c>
      <c r="B112" s="73" t="str">
        <f t="shared" si="8"/>
        <v>Trudy S</v>
      </c>
      <c r="C112" s="73" t="str">
        <f t="shared" si="9"/>
        <v>Schmidt</v>
      </c>
    </row>
    <row r="113" spans="1:8" ht="15.75" customHeight="1">
      <c r="A113" s="75" t="s">
        <v>317</v>
      </c>
      <c r="B113" s="73" t="str">
        <f t="shared" si="8"/>
        <v>Frank At</v>
      </c>
      <c r="C113" s="73" t="str">
        <f t="shared" si="9"/>
        <v>Atkinson</v>
      </c>
    </row>
    <row r="114" spans="1:8" ht="15.75" customHeight="1">
      <c r="A114" s="75" t="s">
        <v>333</v>
      </c>
      <c r="B114" s="73" t="str">
        <f t="shared" si="8"/>
        <v xml:space="preserve">Jamie </v>
      </c>
      <c r="C114" s="73" t="str">
        <f t="shared" si="9"/>
        <v>Frazer</v>
      </c>
    </row>
    <row r="116" spans="1:8" ht="15.75" customHeight="1">
      <c r="A116" s="65" t="s">
        <v>396</v>
      </c>
    </row>
    <row r="117" spans="1:8" ht="15.75" customHeight="1">
      <c r="A117" s="77" t="s">
        <v>27</v>
      </c>
      <c r="B117" s="77" t="s">
        <v>28</v>
      </c>
      <c r="C117" s="77" t="s">
        <v>113</v>
      </c>
      <c r="D117" s="77" t="s">
        <v>404</v>
      </c>
      <c r="E117" s="77" t="s">
        <v>399</v>
      </c>
      <c r="F117" s="77" t="s">
        <v>405</v>
      </c>
      <c r="G117" s="77" t="s">
        <v>117</v>
      </c>
      <c r="H117" s="77" t="s">
        <v>257</v>
      </c>
    </row>
    <row r="118" spans="1:8" ht="15.75" customHeight="1">
      <c r="A118" s="82">
        <v>6100</v>
      </c>
      <c r="B118" s="82" t="s">
        <v>263</v>
      </c>
      <c r="C118" s="82" t="s">
        <v>264</v>
      </c>
      <c r="D118" s="73" t="s">
        <v>267</v>
      </c>
      <c r="E118" s="82" t="s">
        <v>135</v>
      </c>
      <c r="F118" s="82" t="s">
        <v>268</v>
      </c>
      <c r="G118" s="82" t="s">
        <v>266</v>
      </c>
      <c r="H118" s="82">
        <v>2888.1270000000004</v>
      </c>
    </row>
    <row r="119" spans="1:8" ht="15.75" customHeight="1">
      <c r="A119" s="82">
        <v>6117</v>
      </c>
      <c r="B119" s="82" t="s">
        <v>270</v>
      </c>
      <c r="C119" s="82" t="s">
        <v>271</v>
      </c>
      <c r="D119" s="73" t="s">
        <v>273</v>
      </c>
      <c r="E119" s="82" t="s">
        <v>163</v>
      </c>
      <c r="F119" s="82" t="s">
        <v>274</v>
      </c>
      <c r="G119" s="82" t="s">
        <v>266</v>
      </c>
      <c r="H119" s="82">
        <v>2279.96</v>
      </c>
    </row>
    <row r="120" spans="1:8" ht="15.75" customHeight="1">
      <c r="A120" s="82">
        <v>6176</v>
      </c>
      <c r="B120" s="82" t="s">
        <v>276</v>
      </c>
      <c r="C120" s="82" t="s">
        <v>277</v>
      </c>
      <c r="D120" s="73" t="s">
        <v>280</v>
      </c>
      <c r="E120" s="82" t="s">
        <v>135</v>
      </c>
      <c r="F120" s="82" t="s">
        <v>268</v>
      </c>
      <c r="G120" s="82" t="s">
        <v>279</v>
      </c>
      <c r="H120" s="82">
        <v>1690.04</v>
      </c>
    </row>
    <row r="121" spans="1:8" ht="15.75" customHeight="1">
      <c r="A121" s="82">
        <v>6102</v>
      </c>
      <c r="B121" s="82" t="s">
        <v>263</v>
      </c>
      <c r="C121" s="82" t="s">
        <v>264</v>
      </c>
      <c r="D121" s="73" t="s">
        <v>282</v>
      </c>
      <c r="E121" s="82" t="s">
        <v>135</v>
      </c>
      <c r="F121" s="82" t="s">
        <v>268</v>
      </c>
      <c r="G121" s="82" t="s">
        <v>266</v>
      </c>
      <c r="H121" s="82">
        <v>2254.41</v>
      </c>
    </row>
    <row r="122" spans="1:8" ht="15.75" customHeight="1">
      <c r="A122" s="82">
        <v>6015</v>
      </c>
      <c r="B122" s="82" t="s">
        <v>283</v>
      </c>
      <c r="C122" s="82" t="s">
        <v>284</v>
      </c>
      <c r="D122" s="73" t="s">
        <v>286</v>
      </c>
      <c r="E122" s="82" t="s">
        <v>163</v>
      </c>
      <c r="F122" s="82" t="s">
        <v>274</v>
      </c>
      <c r="G122" s="82" t="s">
        <v>134</v>
      </c>
      <c r="H122" s="82">
        <v>4158.9120000000003</v>
      </c>
    </row>
    <row r="123" spans="1:8" ht="15.75" customHeight="1">
      <c r="A123" s="82">
        <v>6101</v>
      </c>
      <c r="B123" s="82" t="s">
        <v>263</v>
      </c>
      <c r="C123" s="82" t="s">
        <v>264</v>
      </c>
      <c r="D123" s="73" t="s">
        <v>286</v>
      </c>
      <c r="E123" s="82" t="s">
        <v>163</v>
      </c>
      <c r="F123" s="82" t="s">
        <v>274</v>
      </c>
      <c r="G123" s="82" t="s">
        <v>266</v>
      </c>
      <c r="H123" s="82">
        <v>1299.6600000000001</v>
      </c>
    </row>
    <row r="124" spans="1:8" ht="15.75" customHeight="1">
      <c r="A124" s="82">
        <v>6011</v>
      </c>
      <c r="B124" s="82" t="s">
        <v>288</v>
      </c>
      <c r="C124" s="82" t="s">
        <v>289</v>
      </c>
      <c r="D124" s="73" t="s">
        <v>290</v>
      </c>
      <c r="E124" s="82" t="s">
        <v>163</v>
      </c>
      <c r="F124" s="82" t="s">
        <v>291</v>
      </c>
      <c r="G124" s="82" t="s">
        <v>134</v>
      </c>
      <c r="H124" s="82">
        <v>2548.5600000000004</v>
      </c>
    </row>
    <row r="125" spans="1:8" ht="15.75" customHeight="1">
      <c r="A125" s="82">
        <v>6175</v>
      </c>
      <c r="B125" s="82" t="s">
        <v>293</v>
      </c>
      <c r="C125" s="82" t="s">
        <v>294</v>
      </c>
      <c r="D125" s="73" t="s">
        <v>297</v>
      </c>
      <c r="E125" s="82" t="s">
        <v>398</v>
      </c>
      <c r="F125" s="82" t="s">
        <v>400</v>
      </c>
      <c r="G125" s="82" t="s">
        <v>296</v>
      </c>
      <c r="H125" s="82">
        <v>838.38</v>
      </c>
    </row>
    <row r="126" spans="1:8" ht="15.75" customHeight="1">
      <c r="A126" s="82">
        <v>6063</v>
      </c>
      <c r="B126" s="82" t="s">
        <v>300</v>
      </c>
      <c r="C126" s="82" t="s">
        <v>301</v>
      </c>
      <c r="D126" s="73" t="s">
        <v>303</v>
      </c>
      <c r="E126" s="82" t="s">
        <v>163</v>
      </c>
      <c r="F126" s="82" t="s">
        <v>304</v>
      </c>
      <c r="G126" s="82" t="s">
        <v>134</v>
      </c>
      <c r="H126" s="82">
        <v>1199.96</v>
      </c>
    </row>
    <row r="127" spans="1:8" ht="15.75" customHeight="1">
      <c r="A127" s="82">
        <v>6191</v>
      </c>
      <c r="B127" s="82" t="s">
        <v>306</v>
      </c>
      <c r="C127" s="82" t="s">
        <v>307</v>
      </c>
      <c r="D127" s="73" t="s">
        <v>308</v>
      </c>
      <c r="E127" s="82" t="s">
        <v>135</v>
      </c>
      <c r="F127" s="82" t="s">
        <v>309</v>
      </c>
      <c r="G127" s="82" t="s">
        <v>266</v>
      </c>
      <c r="H127" s="82">
        <v>799.56000000000006</v>
      </c>
    </row>
    <row r="128" spans="1:8" ht="15.75" customHeight="1">
      <c r="A128" s="82">
        <v>6077</v>
      </c>
      <c r="B128" s="82" t="s">
        <v>311</v>
      </c>
      <c r="C128" s="82" t="s">
        <v>312</v>
      </c>
      <c r="D128" s="73" t="s">
        <v>313</v>
      </c>
      <c r="E128" s="82" t="s">
        <v>163</v>
      </c>
      <c r="F128" s="82" t="s">
        <v>314</v>
      </c>
      <c r="G128" s="82" t="s">
        <v>266</v>
      </c>
      <c r="H128" s="82">
        <v>468.90000000000003</v>
      </c>
    </row>
    <row r="129" spans="1:8" ht="15.75" customHeight="1">
      <c r="A129" s="82">
        <v>6042</v>
      </c>
      <c r="B129" s="82" t="s">
        <v>316</v>
      </c>
      <c r="C129" s="82" t="s">
        <v>317</v>
      </c>
      <c r="D129" s="73" t="s">
        <v>318</v>
      </c>
      <c r="E129" s="82" t="s">
        <v>163</v>
      </c>
      <c r="F129" s="82" t="s">
        <v>291</v>
      </c>
      <c r="G129" s="82" t="s">
        <v>134</v>
      </c>
      <c r="H129" s="82">
        <v>506.28</v>
      </c>
    </row>
    <row r="130" spans="1:8" ht="15.75" customHeight="1">
      <c r="A130" s="82">
        <v>6181</v>
      </c>
      <c r="B130" s="82" t="s">
        <v>276</v>
      </c>
      <c r="C130" s="82" t="s">
        <v>277</v>
      </c>
      <c r="D130" s="73" t="s">
        <v>320</v>
      </c>
      <c r="E130" s="82" t="s">
        <v>163</v>
      </c>
      <c r="F130" s="82" t="s">
        <v>274</v>
      </c>
      <c r="G130" s="82" t="s">
        <v>279</v>
      </c>
      <c r="H130" s="82">
        <v>629.94999999999993</v>
      </c>
    </row>
    <row r="131" spans="1:8" ht="15.75" customHeight="1">
      <c r="A131" s="82">
        <v>6047</v>
      </c>
      <c r="B131" s="82" t="s">
        <v>321</v>
      </c>
      <c r="C131" s="82" t="s">
        <v>322</v>
      </c>
      <c r="D131" s="73" t="s">
        <v>325</v>
      </c>
      <c r="E131" s="82" t="s">
        <v>135</v>
      </c>
      <c r="F131" s="82" t="s">
        <v>326</v>
      </c>
      <c r="G131" s="82" t="s">
        <v>324</v>
      </c>
      <c r="H131" s="82">
        <v>692.93999999999994</v>
      </c>
    </row>
    <row r="132" spans="1:8" ht="15.75" customHeight="1">
      <c r="A132" s="82">
        <v>6132</v>
      </c>
      <c r="B132" s="82" t="s">
        <v>328</v>
      </c>
      <c r="C132" s="82" t="s">
        <v>329</v>
      </c>
      <c r="D132" s="73" t="s">
        <v>330</v>
      </c>
      <c r="E132" s="82" t="s">
        <v>135</v>
      </c>
      <c r="F132" s="82" t="s">
        <v>268</v>
      </c>
      <c r="G132" s="82" t="s">
        <v>266</v>
      </c>
      <c r="H132" s="82">
        <v>767.21400000000006</v>
      </c>
    </row>
    <row r="133" spans="1:8" ht="15.75" customHeight="1">
      <c r="A133" s="82">
        <v>6141</v>
      </c>
      <c r="B133" s="82" t="s">
        <v>332</v>
      </c>
      <c r="C133" s="82" t="s">
        <v>333</v>
      </c>
      <c r="D133" s="73" t="s">
        <v>336</v>
      </c>
      <c r="E133" s="82" t="s">
        <v>398</v>
      </c>
      <c r="F133" s="82" t="s">
        <v>401</v>
      </c>
      <c r="G133" s="82" t="s">
        <v>335</v>
      </c>
      <c r="H133" s="82">
        <v>274.8</v>
      </c>
    </row>
    <row r="134" spans="1:8" ht="15.75" customHeight="1">
      <c r="A134" s="82">
        <v>6012</v>
      </c>
      <c r="B134" s="82" t="s">
        <v>288</v>
      </c>
      <c r="C134" s="82" t="s">
        <v>289</v>
      </c>
      <c r="D134" s="73" t="s">
        <v>339</v>
      </c>
      <c r="E134" s="82" t="s">
        <v>398</v>
      </c>
      <c r="F134" s="82" t="s">
        <v>402</v>
      </c>
      <c r="G134" s="82" t="s">
        <v>134</v>
      </c>
      <c r="H134" s="82">
        <v>271.44</v>
      </c>
    </row>
    <row r="135" spans="1:8" ht="15.75" customHeight="1">
      <c r="A135" s="82">
        <v>6160</v>
      </c>
      <c r="B135" s="82" t="s">
        <v>341</v>
      </c>
      <c r="C135" s="82" t="s">
        <v>342</v>
      </c>
      <c r="D135" s="73" t="s">
        <v>343</v>
      </c>
      <c r="E135" s="82" t="s">
        <v>398</v>
      </c>
      <c r="F135" s="82" t="s">
        <v>400</v>
      </c>
      <c r="G135" s="82" t="s">
        <v>134</v>
      </c>
      <c r="H135" s="82">
        <v>772.68</v>
      </c>
    </row>
    <row r="136" spans="1:8" ht="15.75" customHeight="1">
      <c r="A136" s="82">
        <v>6092</v>
      </c>
      <c r="B136" s="82" t="s">
        <v>263</v>
      </c>
      <c r="C136" s="82" t="s">
        <v>264</v>
      </c>
      <c r="D136" s="73" t="s">
        <v>345</v>
      </c>
      <c r="E136" s="82" t="s">
        <v>163</v>
      </c>
      <c r="F136" s="82" t="s">
        <v>314</v>
      </c>
      <c r="G136" s="82" t="s">
        <v>266</v>
      </c>
      <c r="H136" s="82">
        <v>212.8</v>
      </c>
    </row>
    <row r="137" spans="1:8" ht="15.75" customHeight="1">
      <c r="A137" s="82">
        <v>6046</v>
      </c>
      <c r="B137" s="82" t="s">
        <v>346</v>
      </c>
      <c r="C137" s="82" t="s">
        <v>347</v>
      </c>
      <c r="D137" s="73" t="s">
        <v>350</v>
      </c>
      <c r="E137" s="82" t="s">
        <v>135</v>
      </c>
      <c r="F137" s="82" t="s">
        <v>309</v>
      </c>
      <c r="G137" s="82" t="s">
        <v>349</v>
      </c>
      <c r="H137" s="82">
        <v>238.15200000000004</v>
      </c>
    </row>
    <row r="138" spans="1:8" ht="15.75" customHeight="1">
      <c r="A138" s="82">
        <v>6151</v>
      </c>
      <c r="B138" s="82" t="s">
        <v>352</v>
      </c>
      <c r="C138" s="82" t="s">
        <v>353</v>
      </c>
      <c r="D138" s="73" t="s">
        <v>355</v>
      </c>
      <c r="E138" s="82" t="s">
        <v>135</v>
      </c>
      <c r="F138" s="82" t="s">
        <v>356</v>
      </c>
      <c r="G138" s="82" t="s">
        <v>354</v>
      </c>
      <c r="H138" s="82">
        <v>354.90000000000003</v>
      </c>
    </row>
    <row r="139" spans="1:8" ht="15.75" customHeight="1">
      <c r="A139" s="82">
        <v>6052</v>
      </c>
      <c r="B139" s="82" t="s">
        <v>358</v>
      </c>
      <c r="C139" s="82" t="s">
        <v>359</v>
      </c>
      <c r="D139" s="73" t="s">
        <v>362</v>
      </c>
      <c r="E139" s="82" t="s">
        <v>398</v>
      </c>
      <c r="F139" s="82" t="s">
        <v>403</v>
      </c>
      <c r="G139" s="82" t="s">
        <v>361</v>
      </c>
      <c r="H139" s="82">
        <v>272.39999999999998</v>
      </c>
    </row>
    <row r="140" spans="1:8" ht="15.75" customHeight="1">
      <c r="A140" s="90"/>
      <c r="B140" s="90"/>
    </row>
    <row r="141" spans="1:8" ht="15.75" customHeight="1">
      <c r="A141" s="90"/>
      <c r="B141" s="90"/>
    </row>
  </sheetData>
  <mergeCells count="8">
    <mergeCell ref="K76:N76"/>
    <mergeCell ref="K78:M78"/>
    <mergeCell ref="K79:N79"/>
    <mergeCell ref="K43:L43"/>
    <mergeCell ref="K45:M45"/>
    <mergeCell ref="K73:O73"/>
    <mergeCell ref="K74:Q74"/>
    <mergeCell ref="K75:M75"/>
  </mergeCells>
  <conditionalFormatting sqref="W2:W25">
    <cfRule type="cellIs" dxfId="0" priority="1" operator="greaterThan">
      <formula>3</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 Report</vt:lpstr>
      <vt:lpstr>Date</vt:lpstr>
      <vt:lpstr>Time</vt:lpstr>
      <vt:lpstr>Logical Functions</vt:lpstr>
      <vt:lpstr>AND</vt:lpstr>
      <vt:lpstr>OR</vt:lpstr>
      <vt:lpstr>IF</vt:lpstr>
      <vt:lpstr>NOT</vt:lpstr>
      <vt:lpstr>Text</vt:lpstr>
      <vt:lpstr>Practice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Rupali Saxena</dc:creator>
  <cp:lastModifiedBy>comp</cp:lastModifiedBy>
  <dcterms:created xsi:type="dcterms:W3CDTF">2025-09-22T02:01:57Z</dcterms:created>
  <dcterms:modified xsi:type="dcterms:W3CDTF">2025-11-16T09:35:40Z</dcterms:modified>
</cp:coreProperties>
</file>