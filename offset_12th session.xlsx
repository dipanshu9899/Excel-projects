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1"/>
  </bookViews>
  <sheets>
    <sheet name="Offset" sheetId="1" r:id="rId1"/>
    <sheet name="Assignment" sheetId="2" r:id="rId2"/>
  </sheets>
  <definedNames>
    <definedName name="_xlnm._FilterDatabase" localSheetId="1" hidden="1">Assignment!$A$101:$L$116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2"/>
  <c r="D27"/>
  <c r="E27"/>
  <c r="F27"/>
  <c r="G27"/>
  <c r="H27"/>
  <c r="I27"/>
  <c r="C28"/>
  <c r="D28"/>
  <c r="E28"/>
  <c r="F28"/>
  <c r="G28"/>
  <c r="H28"/>
  <c r="I28"/>
  <c r="C29"/>
  <c r="D29"/>
  <c r="E29"/>
  <c r="F29"/>
  <c r="G29"/>
  <c r="H29"/>
  <c r="I29"/>
  <c r="C30"/>
  <c r="D30"/>
  <c r="E30"/>
  <c r="F30"/>
  <c r="G30"/>
  <c r="H30"/>
  <c r="I30"/>
  <c r="C31"/>
  <c r="D31"/>
  <c r="E31"/>
  <c r="F31"/>
  <c r="G31"/>
  <c r="H31"/>
  <c r="I31"/>
  <c r="C32"/>
  <c r="D32"/>
  <c r="E32"/>
  <c r="F32"/>
  <c r="G32"/>
  <c r="H32"/>
  <c r="I32"/>
  <c r="C33"/>
  <c r="D33"/>
  <c r="E33"/>
  <c r="F33"/>
  <c r="G33"/>
  <c r="H33"/>
  <c r="I33"/>
  <c r="C34"/>
  <c r="D34"/>
  <c r="E34"/>
  <c r="F34"/>
  <c r="G34"/>
  <c r="H34"/>
  <c r="I34"/>
  <c r="B28"/>
  <c r="B29"/>
  <c r="B30"/>
  <c r="B31"/>
  <c r="B32"/>
  <c r="B33"/>
  <c r="B34"/>
  <c r="B27"/>
  <c r="L103"/>
  <c r="L104"/>
  <c r="L105"/>
  <c r="L106"/>
  <c r="L107"/>
  <c r="L108"/>
  <c r="L109"/>
  <c r="L110"/>
  <c r="L111"/>
  <c r="L112"/>
  <c r="L113"/>
  <c r="L114"/>
  <c r="L115"/>
  <c r="L116"/>
  <c r="L102"/>
  <c r="K103"/>
  <c r="K104"/>
  <c r="K105"/>
  <c r="K106"/>
  <c r="K107"/>
  <c r="K108"/>
  <c r="K109"/>
  <c r="K110"/>
  <c r="K111"/>
  <c r="K112"/>
  <c r="K113"/>
  <c r="K114"/>
  <c r="K115"/>
  <c r="K116"/>
  <c r="K102"/>
  <c r="J103"/>
  <c r="J104"/>
  <c r="J105"/>
  <c r="J106"/>
  <c r="J107"/>
  <c r="J108"/>
  <c r="J109"/>
  <c r="J110"/>
  <c r="J111"/>
  <c r="J112"/>
  <c r="J113"/>
  <c r="J114"/>
  <c r="J115"/>
  <c r="J116"/>
  <c r="J102"/>
  <c r="B74" l="1"/>
  <c r="B75"/>
  <c r="B76"/>
  <c r="B77"/>
  <c r="B78"/>
  <c r="B79"/>
  <c r="B80"/>
  <c r="B73"/>
  <c r="B54" l="1"/>
  <c r="C54"/>
  <c r="D54"/>
  <c r="E54"/>
  <c r="F54"/>
  <c r="G54"/>
  <c r="H54"/>
  <c r="B55"/>
  <c r="C55"/>
  <c r="D55"/>
  <c r="E55"/>
  <c r="F55"/>
  <c r="G55"/>
  <c r="H55"/>
  <c r="B56"/>
  <c r="C56"/>
  <c r="D56"/>
  <c r="E56"/>
  <c r="F56"/>
  <c r="G56"/>
  <c r="H56"/>
  <c r="B57"/>
  <c r="C57"/>
  <c r="D57"/>
  <c r="E57"/>
  <c r="F57"/>
  <c r="G57"/>
  <c r="H57"/>
  <c r="B58"/>
  <c r="C58"/>
  <c r="D58"/>
  <c r="E58"/>
  <c r="F58"/>
  <c r="G58"/>
  <c r="H58"/>
  <c r="B59"/>
  <c r="C59"/>
  <c r="D59"/>
  <c r="E59"/>
  <c r="F59"/>
  <c r="G59"/>
  <c r="H59"/>
  <c r="B60"/>
  <c r="C60"/>
  <c r="D60"/>
  <c r="E60"/>
  <c r="F60"/>
  <c r="G60"/>
  <c r="H60"/>
  <c r="B61"/>
  <c r="C61"/>
  <c r="D61"/>
  <c r="E61"/>
  <c r="F61"/>
  <c r="G61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C53"/>
  <c r="D53"/>
  <c r="E53"/>
  <c r="F53"/>
  <c r="G53"/>
  <c r="H53"/>
  <c r="B53"/>
  <c r="H4" l="1"/>
  <c r="G4"/>
  <c r="A20" i="1" l="1"/>
</calcChain>
</file>

<file path=xl/sharedStrings.xml><?xml version="1.0" encoding="utf-8"?>
<sst xmlns="http://schemas.openxmlformats.org/spreadsheetml/2006/main" count="351" uniqueCount="175">
  <si>
    <t>🎯 1. What is OFFSET?</t>
  </si>
  <si>
    <r>
      <t xml:space="preserve">The </t>
    </r>
    <r>
      <rPr>
        <sz val="10"/>
        <color theme="1"/>
        <rFont val="Arial Unicode MS"/>
      </rPr>
      <t>OFFSET</t>
    </r>
    <r>
      <rPr>
        <sz val="11"/>
        <color theme="1"/>
        <rFont val="Calibri"/>
        <family val="2"/>
        <scheme val="minor"/>
      </rPr>
      <t xml:space="preserve"> function returns a cell or range that is a specified number of rows and columns away from a starting point.</t>
    </r>
  </si>
  <si>
    <t>=OFFSET(reference, rows, cols, [height], [width])</t>
  </si>
  <si>
    <t>Reference: srarting cell</t>
  </si>
  <si>
    <t>rows: number of rows to move (positive = down, negative = up)</t>
  </si>
  <si>
    <t>Column: Number of columns to move (positive = right, negative = left)</t>
  </si>
  <si>
    <t xml:space="preserve">Height, width : optional; defined the size of the returned range </t>
  </si>
  <si>
    <t xml:space="preserve">Name </t>
  </si>
  <si>
    <t>Marks</t>
  </si>
  <si>
    <t>Aditi</t>
  </si>
  <si>
    <t>Bharat</t>
  </si>
  <si>
    <t>Charu</t>
  </si>
  <si>
    <t xml:space="preserve">Dev </t>
  </si>
  <si>
    <t>Esha</t>
  </si>
  <si>
    <t>Q1. Create a drop down list under the category and provide sum of sales and profit for the category selected  in the space provided</t>
  </si>
  <si>
    <t>Category</t>
  </si>
  <si>
    <t>Sales</t>
  </si>
  <si>
    <t>Quantity Sold</t>
  </si>
  <si>
    <t>Profit</t>
  </si>
  <si>
    <t>Office Supplies</t>
  </si>
  <si>
    <t>Fasteners</t>
  </si>
  <si>
    <t>Appliances</t>
  </si>
  <si>
    <t>Art</t>
  </si>
  <si>
    <t>Binders</t>
  </si>
  <si>
    <t>Envelopes</t>
  </si>
  <si>
    <t>Labels</t>
  </si>
  <si>
    <t>Paper</t>
  </si>
  <si>
    <t>Storage</t>
  </si>
  <si>
    <t>Supplies</t>
  </si>
  <si>
    <t>Q2.Using Index and match function fill in the data table</t>
  </si>
  <si>
    <t>Open</t>
  </si>
  <si>
    <t>High</t>
  </si>
  <si>
    <t>Low</t>
  </si>
  <si>
    <t>LTP</t>
  </si>
  <si>
    <t>No. of Shares Traded</t>
  </si>
  <si>
    <t>Total Turnover (Lac)</t>
  </si>
  <si>
    <t>No. of Trades</t>
  </si>
  <si>
    <t>Security Name</t>
  </si>
  <si>
    <t>Security Code</t>
  </si>
  <si>
    <t>DRREDDY</t>
  </si>
  <si>
    <t>PVR</t>
  </si>
  <si>
    <t>SUNPHARMA</t>
  </si>
  <si>
    <t>BAJAJHLDNG</t>
  </si>
  <si>
    <t>TCS</t>
  </si>
  <si>
    <t>ASTRAL</t>
  </si>
  <si>
    <t>STAR</t>
  </si>
  <si>
    <t>INFY</t>
  </si>
  <si>
    <t>Q3.  Fill the data in the blank table using Vlookup</t>
  </si>
  <si>
    <t>Customer ID</t>
  </si>
  <si>
    <t>Customer Name</t>
  </si>
  <si>
    <t>Segment</t>
  </si>
  <si>
    <t>City</t>
  </si>
  <si>
    <t>State</t>
  </si>
  <si>
    <t>Postal Code</t>
  </si>
  <si>
    <t>Sales ($)</t>
  </si>
  <si>
    <t>SC-20095</t>
  </si>
  <si>
    <t>Sanjit Chand</t>
  </si>
  <si>
    <t>Consumer</t>
  </si>
  <si>
    <t>Concord</t>
  </si>
  <si>
    <t>California</t>
  </si>
  <si>
    <t>Furniture</t>
  </si>
  <si>
    <t>BS-11755</t>
  </si>
  <si>
    <t>Bruce Stewart</t>
  </si>
  <si>
    <t>Denver</t>
  </si>
  <si>
    <t>Colorado</t>
  </si>
  <si>
    <t>RC-19960</t>
  </si>
  <si>
    <t>Ryan Crowe</t>
  </si>
  <si>
    <t>Columbus</t>
  </si>
  <si>
    <t>Ohio</t>
  </si>
  <si>
    <t>RA-19285</t>
  </si>
  <si>
    <t>Ralph Arnett</t>
  </si>
  <si>
    <t>EA-14035</t>
  </si>
  <si>
    <t>Erin Ashbrook</t>
  </si>
  <si>
    <t>Corporate</t>
  </si>
  <si>
    <t>Charlotte</t>
  </si>
  <si>
    <t>North Carolina</t>
  </si>
  <si>
    <t>JB-15400</t>
  </si>
  <si>
    <t>Jennifer Braxton</t>
  </si>
  <si>
    <t>Chicago</t>
  </si>
  <si>
    <t>Illinois</t>
  </si>
  <si>
    <t>PF-19165</t>
  </si>
  <si>
    <t>Philip Fox</t>
  </si>
  <si>
    <t>Bloomington</t>
  </si>
  <si>
    <t>SA-20830</t>
  </si>
  <si>
    <t>Sue Ann Reed</t>
  </si>
  <si>
    <t>Technology</t>
  </si>
  <si>
    <t>NG-18430</t>
  </si>
  <si>
    <t>Nathan Gelder</t>
  </si>
  <si>
    <t>Cincinnati</t>
  </si>
  <si>
    <t>DK-13150</t>
  </si>
  <si>
    <t>David Kendrick</t>
  </si>
  <si>
    <t>Decatur</t>
  </si>
  <si>
    <t>Q4. Put the date stamp,  timestamp and date and timestamp both in a single cell</t>
  </si>
  <si>
    <t>Date</t>
  </si>
  <si>
    <t>Time</t>
  </si>
  <si>
    <t>Date &amp; Time</t>
  </si>
  <si>
    <t>Q5. Using Match function fill in the row and column number for the customers having the following customer id (Use the data from the table given in Q3)</t>
  </si>
  <si>
    <t>Customer Id</t>
  </si>
  <si>
    <t>Row No.</t>
  </si>
  <si>
    <t>Coulmn No.</t>
  </si>
  <si>
    <r>
      <rPr>
        <b/>
        <sz val="12"/>
        <color theme="1"/>
        <rFont val="Calibri"/>
        <family val="2"/>
        <scheme val="minor"/>
      </rPr>
      <t>Q6</t>
    </r>
    <r>
      <rPr>
        <sz val="12"/>
        <color theme="1"/>
        <rFont val="Calibri"/>
        <family val="2"/>
        <scheme val="minor"/>
      </rPr>
      <t>.Highlight all the Customer ID red if Ship Mode is Standard class (Using Conditional formatting)</t>
    </r>
  </si>
  <si>
    <t>Q7. Separate the Row Id, Order Id and Customer Name using Text to Column</t>
  </si>
  <si>
    <t>RowID OrderID CustomerName</t>
  </si>
  <si>
    <t>CA-2016-159016</t>
  </si>
  <si>
    <t>CA-2017-100111</t>
  </si>
  <si>
    <t>CA-2015-135580</t>
  </si>
  <si>
    <t>US-2016-113677</t>
  </si>
  <si>
    <t>CA-2015-158421</t>
  </si>
  <si>
    <r>
      <rPr>
        <b/>
        <sz val="11"/>
        <color theme="1"/>
        <rFont val="Calibri"/>
        <family val="2"/>
        <scheme val="minor"/>
      </rPr>
      <t xml:space="preserve">Q8. </t>
    </r>
    <r>
      <rPr>
        <sz val="11"/>
        <color theme="1"/>
        <rFont val="Calibri"/>
        <family val="2"/>
        <scheme val="minor"/>
      </rPr>
      <t>Categorize the sales  as follows</t>
    </r>
  </si>
  <si>
    <r>
      <t>a. if sales is less than $1500 then '</t>
    </r>
    <r>
      <rPr>
        <b/>
        <sz val="11"/>
        <color theme="1"/>
        <rFont val="Calibri"/>
        <family val="2"/>
        <scheme val="minor"/>
      </rPr>
      <t>A'</t>
    </r>
  </si>
  <si>
    <r>
      <t>b. if sales is greater than  $1500 '</t>
    </r>
    <r>
      <rPr>
        <b/>
        <sz val="11"/>
        <color theme="1"/>
        <rFont val="Calibri"/>
        <family val="2"/>
        <scheme val="minor"/>
      </rPr>
      <t>B'</t>
    </r>
  </si>
  <si>
    <t>Row ID</t>
  </si>
  <si>
    <t>Order ID</t>
  </si>
  <si>
    <t>Q9</t>
  </si>
  <si>
    <t>Q10</t>
  </si>
  <si>
    <t>SV-20365</t>
  </si>
  <si>
    <t>Seth Vernon</t>
  </si>
  <si>
    <t>New York City</t>
  </si>
  <si>
    <t>New York</t>
  </si>
  <si>
    <t>CM-12655</t>
  </si>
  <si>
    <t>Corinna Mitchell</t>
  </si>
  <si>
    <t>Home Office</t>
  </si>
  <si>
    <t>GB-14575</t>
  </si>
  <si>
    <t>Giulietta Baptist</t>
  </si>
  <si>
    <t>Columbia</t>
  </si>
  <si>
    <t>South Carolina</t>
  </si>
  <si>
    <t>KF-16285</t>
  </si>
  <si>
    <t>Karen Ferguson</t>
  </si>
  <si>
    <t>Los Angeles</t>
  </si>
  <si>
    <t>CL-12565</t>
  </si>
  <si>
    <t>Clay Ludtke</t>
  </si>
  <si>
    <t>US-2014-106299</t>
  </si>
  <si>
    <t>NZ-18565</t>
  </si>
  <si>
    <t>Nick Zandusky</t>
  </si>
  <si>
    <t>Springfield</t>
  </si>
  <si>
    <t>Missouri</t>
  </si>
  <si>
    <t>CA-2015-111780</t>
  </si>
  <si>
    <t>San Diego</t>
  </si>
  <si>
    <t>CA-2016-157259</t>
  </si>
  <si>
    <t>JM-15535</t>
  </si>
  <si>
    <t>Jessica Myrick</t>
  </si>
  <si>
    <t>CA-2016-151561</t>
  </si>
  <si>
    <t>PG-18820</t>
  </si>
  <si>
    <t>Patrick Gardner</t>
  </si>
  <si>
    <t>CA-2017-122364</t>
  </si>
  <si>
    <t>FA-14230</t>
  </si>
  <si>
    <t>Frank Atkinson</t>
  </si>
  <si>
    <t>CA-2016-154662</t>
  </si>
  <si>
    <t>BF-11215</t>
  </si>
  <si>
    <t>Benjamin Farhat</t>
  </si>
  <si>
    <t>Minneapolis</t>
  </si>
  <si>
    <t>Minnesota</t>
  </si>
  <si>
    <t>CA-2014-163447</t>
  </si>
  <si>
    <t>TB-21190</t>
  </si>
  <si>
    <t>Thomas Brumley</t>
  </si>
  <si>
    <r>
      <rPr>
        <b/>
        <sz val="11"/>
        <color theme="1"/>
        <rFont val="Calibri"/>
        <family val="2"/>
        <scheme val="minor"/>
      </rPr>
      <t>Q9.</t>
    </r>
    <r>
      <rPr>
        <sz val="11"/>
        <color theme="1"/>
        <rFont val="Calibri"/>
        <family val="2"/>
        <scheme val="minor"/>
      </rPr>
      <t xml:space="preserve"> Check whether the customer is from the Home Office segment or has ordered Technology.</t>
    </r>
  </si>
  <si>
    <r>
      <rPr>
        <b/>
        <sz val="11"/>
        <color theme="1"/>
        <rFont val="Calibri"/>
        <family val="2"/>
        <scheme val="minor"/>
      </rPr>
      <t>Q10.</t>
    </r>
    <r>
      <rPr>
        <sz val="11"/>
        <color theme="1"/>
        <rFont val="Calibri"/>
        <family val="2"/>
        <scheme val="minor"/>
      </rPr>
      <t>Categorize all the orders in the consumer segment in the following three categories-</t>
    </r>
  </si>
  <si>
    <t>Technology- T</t>
  </si>
  <si>
    <t>Furniture- F</t>
  </si>
  <si>
    <t>Office Supplies- O</t>
  </si>
  <si>
    <t>16-11-202520:46</t>
  </si>
  <si>
    <t>6015,</t>
  </si>
  <si>
    <t>6100,</t>
  </si>
  <si>
    <t>6011,</t>
  </si>
  <si>
    <t>6117 ,</t>
  </si>
  <si>
    <t>6102,</t>
  </si>
  <si>
    <t>6176 ,</t>
  </si>
  <si>
    <t>6114,</t>
  </si>
  <si>
    <t>CA-2016-124590</t>
  </si>
  <si>
    <t>Susan Pistek</t>
  </si>
  <si>
    <t>6111 ,</t>
  </si>
  <si>
    <t>6049,</t>
  </si>
  <si>
    <t>CA-2015-105571</t>
  </si>
  <si>
    <t>Christine Phan</t>
  </si>
  <si>
    <t>6101,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</si>
</sst>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rgb="FF222222"/>
      <name val="RalewayBold"/>
    </font>
    <font>
      <b/>
      <sz val="12"/>
      <color theme="0"/>
      <name val="Calibri"/>
      <family val="2"/>
      <scheme val="minor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/>
    <xf numFmtId="3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" fontId="5" fillId="2" borderId="1" xfId="0" applyNumberFormat="1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0" fillId="0" borderId="2" xfId="0" applyBorder="1"/>
    <xf numFmtId="0" fontId="1" fillId="0" borderId="0" xfId="0" applyFont="1" applyAlignment="1">
      <alignment horizontal="left"/>
    </xf>
    <xf numFmtId="0" fontId="7" fillId="3" borderId="3" xfId="1" applyFont="1" applyFill="1" applyBorder="1"/>
    <xf numFmtId="0" fontId="7" fillId="3" borderId="3" xfId="1" applyFont="1" applyFill="1" applyBorder="1" applyAlignment="1">
      <alignment horizontal="center"/>
    </xf>
    <xf numFmtId="0" fontId="6" fillId="0" borderId="1" xfId="1" applyBorder="1"/>
    <xf numFmtId="0" fontId="6" fillId="0" borderId="1" xfId="1" applyBorder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20" fontId="9" fillId="4" borderId="1" xfId="0" applyNumberFormat="1" applyFont="1" applyFill="1" applyBorder="1" applyAlignment="1">
      <alignment horizontal="center"/>
    </xf>
    <xf numFmtId="22" fontId="9" fillId="4" borderId="1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/>
    <xf numFmtId="0" fontId="6" fillId="0" borderId="0" xfId="0" applyFont="1"/>
    <xf numFmtId="0" fontId="10" fillId="0" borderId="0" xfId="0" applyFont="1"/>
    <xf numFmtId="0" fontId="1" fillId="5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4" borderId="1" xfId="0" applyFill="1" applyBorder="1"/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0"/>
  <sheetViews>
    <sheetView workbookViewId="0">
      <selection activeCell="A20" sqref="A20"/>
    </sheetView>
  </sheetViews>
  <sheetFormatPr defaultRowHeight="15"/>
  <sheetData>
    <row r="2" spans="1:2">
      <c r="A2" t="s">
        <v>0</v>
      </c>
    </row>
    <row r="4" spans="1:2" ht="15.75">
      <c r="A4" t="s">
        <v>1</v>
      </c>
    </row>
    <row r="6" spans="1:2">
      <c r="A6" t="s">
        <v>2</v>
      </c>
    </row>
    <row r="8" spans="1:2">
      <c r="A8" t="s">
        <v>3</v>
      </c>
    </row>
    <row r="9" spans="1:2">
      <c r="A9" t="s">
        <v>4</v>
      </c>
    </row>
    <row r="10" spans="1:2">
      <c r="A10" t="s">
        <v>5</v>
      </c>
    </row>
    <row r="11" spans="1:2">
      <c r="A11" t="s">
        <v>6</v>
      </c>
    </row>
    <row r="13" spans="1:2">
      <c r="A13" s="1" t="s">
        <v>7</v>
      </c>
      <c r="B13" s="1" t="s">
        <v>8</v>
      </c>
    </row>
    <row r="14" spans="1:2">
      <c r="A14" s="1" t="s">
        <v>9</v>
      </c>
      <c r="B14" s="1">
        <v>85</v>
      </c>
    </row>
    <row r="15" spans="1:2">
      <c r="A15" s="1" t="s">
        <v>10</v>
      </c>
      <c r="B15" s="1">
        <v>78</v>
      </c>
    </row>
    <row r="16" spans="1:2">
      <c r="A16" s="1" t="s">
        <v>11</v>
      </c>
      <c r="B16" s="1">
        <v>90</v>
      </c>
    </row>
    <row r="17" spans="1:2">
      <c r="A17" s="1" t="s">
        <v>12</v>
      </c>
      <c r="B17" s="1">
        <v>82</v>
      </c>
    </row>
    <row r="18" spans="1:2">
      <c r="A18" s="1" t="s">
        <v>13</v>
      </c>
      <c r="B18" s="1">
        <v>94</v>
      </c>
    </row>
    <row r="20" spans="1:2">
      <c r="A20" s="2">
        <f ca="1">OFFSET(B14,2,0)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3"/>
  <sheetViews>
    <sheetView showGridLines="0" tabSelected="1" topLeftCell="A32" zoomScale="90" workbookViewId="0">
      <selection activeCell="B53" sqref="B53"/>
    </sheetView>
  </sheetViews>
  <sheetFormatPr defaultRowHeight="15"/>
  <cols>
    <col min="1" max="1" width="42.28515625" customWidth="1"/>
    <col min="2" max="2" width="16.7109375" customWidth="1"/>
    <col min="3" max="3" width="20.28515625" customWidth="1"/>
    <col min="4" max="4" width="16" customWidth="1"/>
    <col min="5" max="5" width="20.7109375" bestFit="1" customWidth="1"/>
    <col min="6" max="6" width="13.85546875" customWidth="1"/>
    <col min="7" max="8" width="13.7109375" customWidth="1"/>
    <col min="9" max="10" width="13.7109375" bestFit="1" customWidth="1"/>
  </cols>
  <sheetData>
    <row r="1" spans="1:9">
      <c r="A1" s="3" t="s">
        <v>14</v>
      </c>
    </row>
    <row r="3" spans="1:9" ht="15.75">
      <c r="A3" s="4" t="s">
        <v>15</v>
      </c>
      <c r="B3" s="4" t="s">
        <v>16</v>
      </c>
      <c r="C3" s="4" t="s">
        <v>17</v>
      </c>
      <c r="D3" s="4" t="s">
        <v>18</v>
      </c>
      <c r="F3" s="4" t="s">
        <v>15</v>
      </c>
      <c r="G3" s="4" t="s">
        <v>16</v>
      </c>
      <c r="H3" s="4" t="s">
        <v>18</v>
      </c>
    </row>
    <row r="4" spans="1:9">
      <c r="A4" s="5" t="s">
        <v>19</v>
      </c>
      <c r="B4" s="5">
        <v>11268.315999999999</v>
      </c>
      <c r="C4" s="5">
        <v>467</v>
      </c>
      <c r="D4" s="5">
        <v>156.18199999999987</v>
      </c>
      <c r="F4" s="6" t="s">
        <v>26</v>
      </c>
      <c r="G4" s="6">
        <f>VLOOKUP(F4,$A$4:$D$13,MATCH(G3,A3:D3,0),0)</f>
        <v>1575.9359999999999</v>
      </c>
      <c r="H4" s="6">
        <f>VLOOKUP(F4,A4:D13,MATCH(H3,A3:D3,0),0)</f>
        <v>655.36460000000011</v>
      </c>
    </row>
    <row r="5" spans="1:9">
      <c r="A5" s="5" t="s">
        <v>21</v>
      </c>
      <c r="B5" s="5">
        <v>1250.192</v>
      </c>
      <c r="C5" s="5">
        <v>32</v>
      </c>
      <c r="D5" s="5">
        <v>-98.8536000000001</v>
      </c>
    </row>
    <row r="6" spans="1:9">
      <c r="A6" s="5" t="s">
        <v>22</v>
      </c>
      <c r="B6" s="5">
        <v>731.81999999999994</v>
      </c>
      <c r="C6" s="5">
        <v>68</v>
      </c>
      <c r="D6" s="5">
        <v>204.84929999999997</v>
      </c>
    </row>
    <row r="7" spans="1:9">
      <c r="A7" s="5" t="s">
        <v>23</v>
      </c>
      <c r="B7" s="5">
        <v>2283.2280000000001</v>
      </c>
      <c r="C7" s="5">
        <v>97</v>
      </c>
      <c r="D7" s="5">
        <v>-1436.7368000000004</v>
      </c>
    </row>
    <row r="8" spans="1:9">
      <c r="A8" s="5" t="s">
        <v>24</v>
      </c>
      <c r="B8" s="5">
        <v>493.38</v>
      </c>
      <c r="C8" s="5">
        <v>13</v>
      </c>
      <c r="D8" s="5">
        <v>225.61020000000002</v>
      </c>
    </row>
    <row r="9" spans="1:9">
      <c r="A9" s="5" t="s">
        <v>20</v>
      </c>
      <c r="B9" s="5">
        <v>36.760000000000005</v>
      </c>
      <c r="C9" s="5">
        <v>17</v>
      </c>
      <c r="D9" s="5">
        <v>9.450800000000001</v>
      </c>
    </row>
    <row r="10" spans="1:9">
      <c r="A10" s="5" t="s">
        <v>25</v>
      </c>
      <c r="B10" s="5">
        <v>76.283999999999992</v>
      </c>
      <c r="C10" s="5">
        <v>19</v>
      </c>
      <c r="D10" s="5">
        <v>27.326099999999993</v>
      </c>
    </row>
    <row r="11" spans="1:9">
      <c r="A11" s="5" t="s">
        <v>26</v>
      </c>
      <c r="B11" s="5">
        <v>1575.9359999999999</v>
      </c>
      <c r="C11" s="5">
        <v>123</v>
      </c>
      <c r="D11" s="5">
        <v>655.36460000000011</v>
      </c>
    </row>
    <row r="12" spans="1:9">
      <c r="A12" s="5" t="s">
        <v>27</v>
      </c>
      <c r="B12" s="5">
        <v>4660.018</v>
      </c>
      <c r="C12" s="5">
        <v>80</v>
      </c>
      <c r="D12" s="5">
        <v>541.83120000000008</v>
      </c>
    </row>
    <row r="13" spans="1:9">
      <c r="A13" s="5" t="s">
        <v>28</v>
      </c>
      <c r="B13" s="5">
        <v>160.69800000000001</v>
      </c>
      <c r="C13" s="5">
        <v>18</v>
      </c>
      <c r="D13" s="5">
        <v>27.340199999999992</v>
      </c>
    </row>
    <row r="15" spans="1:9">
      <c r="A15" t="s">
        <v>29</v>
      </c>
    </row>
    <row r="16" spans="1:9" ht="15.75">
      <c r="A16" s="4" t="s">
        <v>30</v>
      </c>
      <c r="B16" s="4" t="s">
        <v>31</v>
      </c>
      <c r="C16" s="4" t="s">
        <v>32</v>
      </c>
      <c r="D16" s="4" t="s">
        <v>33</v>
      </c>
      <c r="E16" s="4" t="s">
        <v>34</v>
      </c>
      <c r="F16" s="4" t="s">
        <v>35</v>
      </c>
      <c r="G16" s="4" t="s">
        <v>36</v>
      </c>
      <c r="H16" s="4" t="s">
        <v>37</v>
      </c>
      <c r="I16" s="4" t="s">
        <v>38</v>
      </c>
    </row>
    <row r="17" spans="1:10">
      <c r="A17" s="7">
        <v>1979</v>
      </c>
      <c r="B17" s="7">
        <v>2099</v>
      </c>
      <c r="C17" s="7">
        <v>1972</v>
      </c>
      <c r="D17" s="8">
        <v>2062.9</v>
      </c>
      <c r="E17" s="7">
        <v>805004</v>
      </c>
      <c r="F17" s="9">
        <v>16405.650000000001</v>
      </c>
      <c r="G17" s="7">
        <v>4489</v>
      </c>
      <c r="H17" s="5" t="s">
        <v>39</v>
      </c>
      <c r="I17" s="8">
        <v>500124</v>
      </c>
    </row>
    <row r="18" spans="1:10">
      <c r="A18" s="7">
        <v>1350</v>
      </c>
      <c r="B18" s="9">
        <v>1415.5</v>
      </c>
      <c r="C18" s="7">
        <v>1332</v>
      </c>
      <c r="D18" s="8">
        <v>1408.95</v>
      </c>
      <c r="E18" s="7">
        <v>674882</v>
      </c>
      <c r="F18" s="9">
        <v>9032.5499999999993</v>
      </c>
      <c r="G18" s="7">
        <v>3992</v>
      </c>
      <c r="H18" s="5" t="s">
        <v>40</v>
      </c>
      <c r="I18" s="8">
        <v>532689</v>
      </c>
    </row>
    <row r="19" spans="1:10">
      <c r="A19" s="8">
        <v>485.15</v>
      </c>
      <c r="B19" s="8">
        <v>532.65</v>
      </c>
      <c r="C19" s="8">
        <v>485.15</v>
      </c>
      <c r="D19" s="8">
        <v>528.20000000000005</v>
      </c>
      <c r="E19" s="7">
        <v>1646767</v>
      </c>
      <c r="F19" s="9">
        <v>8583.0499999999993</v>
      </c>
      <c r="G19" s="7">
        <v>24139</v>
      </c>
      <c r="H19" s="5" t="s">
        <v>41</v>
      </c>
      <c r="I19" s="8">
        <v>524715</v>
      </c>
    </row>
    <row r="20" spans="1:10">
      <c r="A20" s="7">
        <v>2833</v>
      </c>
      <c r="B20" s="7">
        <v>2925</v>
      </c>
      <c r="C20" s="9">
        <v>2780.2</v>
      </c>
      <c r="D20" s="8">
        <v>2903.75</v>
      </c>
      <c r="E20" s="7">
        <v>247924</v>
      </c>
      <c r="F20" s="9">
        <v>7188.68</v>
      </c>
      <c r="G20" s="7">
        <v>2759</v>
      </c>
      <c r="H20" s="5" t="s">
        <v>42</v>
      </c>
      <c r="I20" s="8">
        <v>500490</v>
      </c>
    </row>
    <row r="21" spans="1:10">
      <c r="A21" s="7">
        <v>1736</v>
      </c>
      <c r="B21" s="9">
        <v>1757.5</v>
      </c>
      <c r="C21" s="7">
        <v>1736</v>
      </c>
      <c r="D21" s="8">
        <v>1748.2</v>
      </c>
      <c r="E21" s="7">
        <v>402906</v>
      </c>
      <c r="F21" s="9">
        <v>7044.92</v>
      </c>
      <c r="G21" s="7">
        <v>2729</v>
      </c>
      <c r="H21" s="5" t="s">
        <v>43</v>
      </c>
      <c r="I21" s="8">
        <v>532540</v>
      </c>
    </row>
    <row r="22" spans="1:10">
      <c r="A22" s="9">
        <v>1012.95</v>
      </c>
      <c r="B22" s="9">
        <v>1032.8</v>
      </c>
      <c r="C22" s="8">
        <v>984.55</v>
      </c>
      <c r="D22" s="8">
        <v>1008.3</v>
      </c>
      <c r="E22" s="7">
        <v>598973</v>
      </c>
      <c r="F22" s="9">
        <v>6085.39</v>
      </c>
      <c r="G22" s="8">
        <v>312</v>
      </c>
      <c r="H22" s="5" t="s">
        <v>44</v>
      </c>
      <c r="I22" s="8">
        <v>532830</v>
      </c>
    </row>
    <row r="23" spans="1:10">
      <c r="A23" s="8">
        <v>341</v>
      </c>
      <c r="B23" s="8">
        <v>388.25</v>
      </c>
      <c r="C23" s="8">
        <v>334.1</v>
      </c>
      <c r="D23" s="8">
        <v>357.7</v>
      </c>
      <c r="E23" s="7">
        <v>1500406</v>
      </c>
      <c r="F23" s="9">
        <v>5532.45</v>
      </c>
      <c r="G23" s="7">
        <v>26313</v>
      </c>
      <c r="H23" s="5" t="s">
        <v>45</v>
      </c>
      <c r="I23" s="8">
        <v>532531</v>
      </c>
    </row>
    <row r="24" spans="1:10">
      <c r="A24" s="9">
        <v>1249.9000000000001</v>
      </c>
      <c r="B24" s="9">
        <v>1262.45</v>
      </c>
      <c r="C24" s="9">
        <v>1245.1500000000001</v>
      </c>
      <c r="D24" s="8">
        <v>1259.75</v>
      </c>
      <c r="E24" s="7">
        <v>415785</v>
      </c>
      <c r="F24" s="9">
        <v>5235.8500000000004</v>
      </c>
      <c r="G24" s="7">
        <v>3948</v>
      </c>
      <c r="H24" s="5" t="s">
        <v>46</v>
      </c>
      <c r="I24" s="8">
        <v>500209</v>
      </c>
    </row>
    <row r="25" spans="1:10">
      <c r="A25" s="10"/>
    </row>
    <row r="26" spans="1:10" ht="15.75">
      <c r="A26" s="4" t="s">
        <v>37</v>
      </c>
      <c r="B26" s="4" t="s">
        <v>38</v>
      </c>
      <c r="C26" s="4" t="s">
        <v>30</v>
      </c>
      <c r="D26" s="4" t="s">
        <v>31</v>
      </c>
      <c r="E26" s="4" t="s">
        <v>32</v>
      </c>
      <c r="F26" s="4" t="s">
        <v>33</v>
      </c>
      <c r="G26" s="4" t="s">
        <v>34</v>
      </c>
      <c r="H26" s="4" t="s">
        <v>35</v>
      </c>
      <c r="I26" s="4" t="s">
        <v>36</v>
      </c>
    </row>
    <row r="27" spans="1:10">
      <c r="A27" s="5" t="s">
        <v>39</v>
      </c>
      <c r="B27" s="1">
        <f>INDEX($A$16:$I$24,MATCH($A27,$H$16:$H$24,0),MATCH(B$26,$A$16:$I$16,0))</f>
        <v>500124</v>
      </c>
      <c r="C27" s="1">
        <f t="shared" ref="C27:I27" si="0">INDEX($A$16:$I$24,MATCH($A27,$H$16:$H$24,0),MATCH(C$26,$A$16:$I$16,0))</f>
        <v>1979</v>
      </c>
      <c r="D27" s="1">
        <f t="shared" si="0"/>
        <v>2099</v>
      </c>
      <c r="E27" s="1">
        <f t="shared" si="0"/>
        <v>1972</v>
      </c>
      <c r="F27" s="1">
        <f t="shared" si="0"/>
        <v>2062.9</v>
      </c>
      <c r="G27" s="1">
        <f t="shared" si="0"/>
        <v>805004</v>
      </c>
      <c r="H27" s="1">
        <f t="shared" si="0"/>
        <v>16405.650000000001</v>
      </c>
      <c r="I27" s="1">
        <f t="shared" si="0"/>
        <v>4489</v>
      </c>
      <c r="J27" s="11"/>
    </row>
    <row r="28" spans="1:10">
      <c r="A28" s="5" t="s">
        <v>40</v>
      </c>
      <c r="B28" s="1">
        <f t="shared" ref="B28:I34" si="1">INDEX($A$16:$I$24,MATCH($A28,$H$16:$H$24,0),MATCH(B$26,$A$16:$I$16,0))</f>
        <v>532689</v>
      </c>
      <c r="C28" s="1">
        <f t="shared" si="1"/>
        <v>1350</v>
      </c>
      <c r="D28" s="1">
        <f t="shared" si="1"/>
        <v>1415.5</v>
      </c>
      <c r="E28" s="1">
        <f t="shared" si="1"/>
        <v>1332</v>
      </c>
      <c r="F28" s="1">
        <f t="shared" si="1"/>
        <v>1408.95</v>
      </c>
      <c r="G28" s="1">
        <f t="shared" si="1"/>
        <v>674882</v>
      </c>
      <c r="H28" s="1">
        <f t="shared" si="1"/>
        <v>9032.5499999999993</v>
      </c>
      <c r="I28" s="1">
        <f t="shared" si="1"/>
        <v>3992</v>
      </c>
    </row>
    <row r="29" spans="1:10">
      <c r="A29" s="5" t="s">
        <v>41</v>
      </c>
      <c r="B29" s="1">
        <f t="shared" si="1"/>
        <v>524715</v>
      </c>
      <c r="C29" s="1">
        <f t="shared" si="1"/>
        <v>485.15</v>
      </c>
      <c r="D29" s="1">
        <f t="shared" si="1"/>
        <v>532.65</v>
      </c>
      <c r="E29" s="1">
        <f t="shared" si="1"/>
        <v>485.15</v>
      </c>
      <c r="F29" s="1">
        <f t="shared" si="1"/>
        <v>528.20000000000005</v>
      </c>
      <c r="G29" s="1">
        <f t="shared" si="1"/>
        <v>1646767</v>
      </c>
      <c r="H29" s="1">
        <f t="shared" si="1"/>
        <v>8583.0499999999993</v>
      </c>
      <c r="I29" s="1">
        <f t="shared" si="1"/>
        <v>24139</v>
      </c>
    </row>
    <row r="30" spans="1:10">
      <c r="A30" s="5" t="s">
        <v>42</v>
      </c>
      <c r="B30" s="1">
        <f t="shared" si="1"/>
        <v>500490</v>
      </c>
      <c r="C30" s="1">
        <f t="shared" si="1"/>
        <v>2833</v>
      </c>
      <c r="D30" s="1">
        <f t="shared" si="1"/>
        <v>2925</v>
      </c>
      <c r="E30" s="1">
        <f t="shared" si="1"/>
        <v>2780.2</v>
      </c>
      <c r="F30" s="1">
        <f t="shared" si="1"/>
        <v>2903.75</v>
      </c>
      <c r="G30" s="1">
        <f t="shared" si="1"/>
        <v>247924</v>
      </c>
      <c r="H30" s="1">
        <f t="shared" si="1"/>
        <v>7188.68</v>
      </c>
      <c r="I30" s="1">
        <f t="shared" si="1"/>
        <v>2759</v>
      </c>
    </row>
    <row r="31" spans="1:10">
      <c r="A31" s="5" t="s">
        <v>43</v>
      </c>
      <c r="B31" s="1">
        <f t="shared" si="1"/>
        <v>532540</v>
      </c>
      <c r="C31" s="1">
        <f t="shared" si="1"/>
        <v>1736</v>
      </c>
      <c r="D31" s="1">
        <f t="shared" si="1"/>
        <v>1757.5</v>
      </c>
      <c r="E31" s="1">
        <f t="shared" si="1"/>
        <v>1736</v>
      </c>
      <c r="F31" s="1">
        <f t="shared" si="1"/>
        <v>1748.2</v>
      </c>
      <c r="G31" s="1">
        <f t="shared" si="1"/>
        <v>402906</v>
      </c>
      <c r="H31" s="1">
        <f t="shared" si="1"/>
        <v>7044.92</v>
      </c>
      <c r="I31" s="1">
        <f t="shared" si="1"/>
        <v>2729</v>
      </c>
    </row>
    <row r="32" spans="1:10">
      <c r="A32" s="5" t="s">
        <v>44</v>
      </c>
      <c r="B32" s="1">
        <f t="shared" si="1"/>
        <v>532830</v>
      </c>
      <c r="C32" s="1">
        <f t="shared" si="1"/>
        <v>1012.95</v>
      </c>
      <c r="D32" s="1">
        <f t="shared" si="1"/>
        <v>1032.8</v>
      </c>
      <c r="E32" s="1">
        <f t="shared" si="1"/>
        <v>984.55</v>
      </c>
      <c r="F32" s="1">
        <f t="shared" si="1"/>
        <v>1008.3</v>
      </c>
      <c r="G32" s="1">
        <f t="shared" si="1"/>
        <v>598973</v>
      </c>
      <c r="H32" s="1">
        <f t="shared" si="1"/>
        <v>6085.39</v>
      </c>
      <c r="I32" s="1">
        <f t="shared" si="1"/>
        <v>312</v>
      </c>
    </row>
    <row r="33" spans="1:9">
      <c r="A33" s="5" t="s">
        <v>45</v>
      </c>
      <c r="B33" s="1">
        <f t="shared" si="1"/>
        <v>532531</v>
      </c>
      <c r="C33" s="1">
        <f t="shared" si="1"/>
        <v>341</v>
      </c>
      <c r="D33" s="1">
        <f t="shared" si="1"/>
        <v>388.25</v>
      </c>
      <c r="E33" s="1">
        <f t="shared" si="1"/>
        <v>334.1</v>
      </c>
      <c r="F33" s="1">
        <f t="shared" si="1"/>
        <v>357.7</v>
      </c>
      <c r="G33" s="1">
        <f t="shared" si="1"/>
        <v>1500406</v>
      </c>
      <c r="H33" s="1">
        <f t="shared" si="1"/>
        <v>5532.45</v>
      </c>
      <c r="I33" s="1">
        <f t="shared" si="1"/>
        <v>26313</v>
      </c>
    </row>
    <row r="34" spans="1:9">
      <c r="A34" s="5" t="s">
        <v>46</v>
      </c>
      <c r="B34" s="1">
        <f t="shared" si="1"/>
        <v>500209</v>
      </c>
      <c r="C34" s="1">
        <f t="shared" si="1"/>
        <v>1249.9000000000001</v>
      </c>
      <c r="D34" s="1">
        <f t="shared" si="1"/>
        <v>1262.45</v>
      </c>
      <c r="E34" s="1">
        <f t="shared" si="1"/>
        <v>1245.1500000000001</v>
      </c>
      <c r="F34" s="1">
        <f t="shared" si="1"/>
        <v>1259.75</v>
      </c>
      <c r="G34" s="1">
        <f t="shared" si="1"/>
        <v>415785</v>
      </c>
      <c r="H34" s="1">
        <f t="shared" si="1"/>
        <v>5235.8500000000004</v>
      </c>
      <c r="I34" s="1">
        <f t="shared" si="1"/>
        <v>3948</v>
      </c>
    </row>
    <row r="36" spans="1:9" ht="15.75" thickBot="1">
      <c r="A36" s="12" t="s">
        <v>47</v>
      </c>
    </row>
    <row r="37" spans="1:9" ht="15.75">
      <c r="A37" s="13" t="s">
        <v>48</v>
      </c>
      <c r="B37" s="13" t="s">
        <v>49</v>
      </c>
      <c r="C37" s="13" t="s">
        <v>50</v>
      </c>
      <c r="D37" s="13" t="s">
        <v>51</v>
      </c>
      <c r="E37" s="13" t="s">
        <v>52</v>
      </c>
      <c r="F37" s="14" t="s">
        <v>53</v>
      </c>
      <c r="G37" s="13" t="s">
        <v>15</v>
      </c>
      <c r="H37" s="14" t="s">
        <v>54</v>
      </c>
    </row>
    <row r="38" spans="1:9" ht="15.75">
      <c r="A38" s="15" t="s">
        <v>55</v>
      </c>
      <c r="B38" s="15" t="s">
        <v>56</v>
      </c>
      <c r="C38" s="15" t="s">
        <v>57</v>
      </c>
      <c r="D38" s="15" t="s">
        <v>58</v>
      </c>
      <c r="E38" s="15" t="s">
        <v>59</v>
      </c>
      <c r="F38" s="16">
        <v>94521</v>
      </c>
      <c r="G38" s="15" t="s">
        <v>60</v>
      </c>
      <c r="H38" s="16">
        <v>129.56800000000001</v>
      </c>
    </row>
    <row r="39" spans="1:9" ht="15.75">
      <c r="A39" s="15" t="s">
        <v>61</v>
      </c>
      <c r="B39" s="15" t="s">
        <v>62</v>
      </c>
      <c r="C39" s="15" t="s">
        <v>57</v>
      </c>
      <c r="D39" s="15" t="s">
        <v>63</v>
      </c>
      <c r="E39" s="15" t="s">
        <v>64</v>
      </c>
      <c r="F39" s="16">
        <v>80219</v>
      </c>
      <c r="G39" s="15" t="s">
        <v>60</v>
      </c>
      <c r="H39" s="16">
        <v>218.75</v>
      </c>
    </row>
    <row r="40" spans="1:9" ht="15.75">
      <c r="A40" s="15" t="s">
        <v>65</v>
      </c>
      <c r="B40" s="15" t="s">
        <v>66</v>
      </c>
      <c r="C40" s="15" t="s">
        <v>57</v>
      </c>
      <c r="D40" s="15" t="s">
        <v>67</v>
      </c>
      <c r="E40" s="15" t="s">
        <v>68</v>
      </c>
      <c r="F40" s="16">
        <v>43229</v>
      </c>
      <c r="G40" s="15" t="s">
        <v>19</v>
      </c>
      <c r="H40" s="16">
        <v>40.096000000000004</v>
      </c>
    </row>
    <row r="41" spans="1:9" ht="15.75">
      <c r="A41" s="15" t="s">
        <v>69</v>
      </c>
      <c r="B41" s="15" t="s">
        <v>70</v>
      </c>
      <c r="C41" s="15" t="s">
        <v>57</v>
      </c>
      <c r="D41" s="15" t="s">
        <v>67</v>
      </c>
      <c r="E41" s="15" t="s">
        <v>68</v>
      </c>
      <c r="F41" s="16">
        <v>43229</v>
      </c>
      <c r="G41" s="15" t="s">
        <v>19</v>
      </c>
      <c r="H41" s="16">
        <v>4.7200000000000006</v>
      </c>
    </row>
    <row r="42" spans="1:9" ht="15.75">
      <c r="A42" s="15" t="s">
        <v>65</v>
      </c>
      <c r="B42" s="15" t="s">
        <v>66</v>
      </c>
      <c r="C42" s="15" t="s">
        <v>57</v>
      </c>
      <c r="D42" s="15" t="s">
        <v>67</v>
      </c>
      <c r="E42" s="15" t="s">
        <v>68</v>
      </c>
      <c r="F42" s="16">
        <v>43229</v>
      </c>
      <c r="G42" s="15" t="s">
        <v>19</v>
      </c>
      <c r="H42" s="16">
        <v>23.976000000000003</v>
      </c>
    </row>
    <row r="43" spans="1:9" ht="15.75">
      <c r="A43" s="15" t="s">
        <v>65</v>
      </c>
      <c r="B43" s="15" t="s">
        <v>66</v>
      </c>
      <c r="C43" s="15" t="s">
        <v>57</v>
      </c>
      <c r="D43" s="15" t="s">
        <v>67</v>
      </c>
      <c r="E43" s="15" t="s">
        <v>68</v>
      </c>
      <c r="F43" s="16">
        <v>43229</v>
      </c>
      <c r="G43" s="15" t="s">
        <v>19</v>
      </c>
      <c r="H43" s="16">
        <v>130.464</v>
      </c>
    </row>
    <row r="44" spans="1:9" ht="15.75">
      <c r="A44" s="15" t="s">
        <v>71</v>
      </c>
      <c r="B44" s="15" t="s">
        <v>72</v>
      </c>
      <c r="C44" s="15" t="s">
        <v>73</v>
      </c>
      <c r="D44" s="15" t="s">
        <v>74</v>
      </c>
      <c r="E44" s="15" t="s">
        <v>75</v>
      </c>
      <c r="F44" s="16">
        <v>28205</v>
      </c>
      <c r="G44" s="15" t="s">
        <v>19</v>
      </c>
      <c r="H44" s="16">
        <v>18.648000000000003</v>
      </c>
    </row>
    <row r="45" spans="1:9" ht="15.75">
      <c r="A45" s="15" t="s">
        <v>76</v>
      </c>
      <c r="B45" s="15" t="s">
        <v>77</v>
      </c>
      <c r="C45" s="15" t="s">
        <v>73</v>
      </c>
      <c r="D45" s="15" t="s">
        <v>78</v>
      </c>
      <c r="E45" s="15" t="s">
        <v>79</v>
      </c>
      <c r="F45" s="16">
        <v>60623</v>
      </c>
      <c r="G45" s="15" t="s">
        <v>19</v>
      </c>
      <c r="H45" s="16">
        <v>52.447999999999993</v>
      </c>
    </row>
    <row r="46" spans="1:9" ht="15.75">
      <c r="A46" s="15" t="s">
        <v>76</v>
      </c>
      <c r="B46" s="15" t="s">
        <v>77</v>
      </c>
      <c r="C46" s="15" t="s">
        <v>73</v>
      </c>
      <c r="D46" s="15" t="s">
        <v>78</v>
      </c>
      <c r="E46" s="15" t="s">
        <v>79</v>
      </c>
      <c r="F46" s="16">
        <v>60623</v>
      </c>
      <c r="G46" s="15" t="s">
        <v>19</v>
      </c>
      <c r="H46" s="16">
        <v>20.16</v>
      </c>
    </row>
    <row r="47" spans="1:9" ht="15.75">
      <c r="A47" s="15" t="s">
        <v>80</v>
      </c>
      <c r="B47" s="15" t="s">
        <v>81</v>
      </c>
      <c r="C47" s="15" t="s">
        <v>57</v>
      </c>
      <c r="D47" s="15" t="s">
        <v>82</v>
      </c>
      <c r="E47" s="15" t="s">
        <v>79</v>
      </c>
      <c r="F47" s="16">
        <v>61701</v>
      </c>
      <c r="G47" s="15" t="s">
        <v>60</v>
      </c>
      <c r="H47" s="16">
        <v>617.70000000000005</v>
      </c>
    </row>
    <row r="48" spans="1:9" ht="15.75">
      <c r="A48" s="15" t="s">
        <v>83</v>
      </c>
      <c r="B48" s="15" t="s">
        <v>84</v>
      </c>
      <c r="C48" s="15" t="s">
        <v>57</v>
      </c>
      <c r="D48" s="15" t="s">
        <v>78</v>
      </c>
      <c r="E48" s="15" t="s">
        <v>79</v>
      </c>
      <c r="F48" s="16">
        <v>60610</v>
      </c>
      <c r="G48" s="15" t="s">
        <v>85</v>
      </c>
      <c r="H48" s="16">
        <v>2735.9520000000002</v>
      </c>
    </row>
    <row r="49" spans="1:8" ht="15.75">
      <c r="A49" s="15" t="s">
        <v>86</v>
      </c>
      <c r="B49" s="15" t="s">
        <v>87</v>
      </c>
      <c r="C49" s="15" t="s">
        <v>57</v>
      </c>
      <c r="D49" s="15" t="s">
        <v>88</v>
      </c>
      <c r="E49" s="15" t="s">
        <v>68</v>
      </c>
      <c r="F49" s="16">
        <v>45231</v>
      </c>
      <c r="G49" s="15" t="s">
        <v>19</v>
      </c>
      <c r="H49" s="16">
        <v>2.6240000000000001</v>
      </c>
    </row>
    <row r="50" spans="1:8" ht="15.75">
      <c r="A50" s="15" t="s">
        <v>89</v>
      </c>
      <c r="B50" s="15" t="s">
        <v>90</v>
      </c>
      <c r="C50" s="15" t="s">
        <v>73</v>
      </c>
      <c r="D50" s="15" t="s">
        <v>91</v>
      </c>
      <c r="E50" s="15" t="s">
        <v>79</v>
      </c>
      <c r="F50" s="16">
        <v>62521</v>
      </c>
      <c r="G50" s="15" t="s">
        <v>19</v>
      </c>
      <c r="H50" s="16">
        <v>24.816000000000003</v>
      </c>
    </row>
    <row r="51" spans="1:8" ht="15.75" thickBot="1"/>
    <row r="52" spans="1:8" ht="15.75">
      <c r="A52" s="13" t="s">
        <v>48</v>
      </c>
      <c r="B52" s="13" t="s">
        <v>49</v>
      </c>
      <c r="C52" s="13" t="s">
        <v>50</v>
      </c>
      <c r="D52" s="13" t="s">
        <v>51</v>
      </c>
      <c r="E52" s="13" t="s">
        <v>52</v>
      </c>
      <c r="F52" s="14" t="s">
        <v>53</v>
      </c>
      <c r="G52" s="13" t="s">
        <v>15</v>
      </c>
      <c r="H52" s="14" t="s">
        <v>54</v>
      </c>
    </row>
    <row r="53" spans="1:8" ht="15.75">
      <c r="A53" s="15" t="s">
        <v>55</v>
      </c>
      <c r="B53" s="15" t="str">
        <f>VLOOKUP($A53,$A$38:$H$50,MATCH(B$52,$A$37:$H$37,0),0)</f>
        <v>Sanjit Chand</v>
      </c>
      <c r="C53" s="15" t="str">
        <f t="shared" ref="C53:H65" si="2">VLOOKUP($A53,$A$38:$H$50,MATCH(C$52,$A$37:$H$37,0),0)</f>
        <v>Consumer</v>
      </c>
      <c r="D53" s="15" t="str">
        <f t="shared" si="2"/>
        <v>Concord</v>
      </c>
      <c r="E53" s="15" t="str">
        <f t="shared" si="2"/>
        <v>California</v>
      </c>
      <c r="F53" s="15">
        <f t="shared" si="2"/>
        <v>94521</v>
      </c>
      <c r="G53" s="15" t="str">
        <f t="shared" si="2"/>
        <v>Furniture</v>
      </c>
      <c r="H53" s="15">
        <f t="shared" si="2"/>
        <v>129.56800000000001</v>
      </c>
    </row>
    <row r="54" spans="1:8" ht="15.75">
      <c r="A54" s="15" t="s">
        <v>61</v>
      </c>
      <c r="B54" s="15" t="str">
        <f t="shared" ref="B54:B65" si="3">VLOOKUP($A54,$A$38:$H$50,MATCH(B$52,$A$37:$H$37,0),0)</f>
        <v>Bruce Stewart</v>
      </c>
      <c r="C54" s="15" t="str">
        <f t="shared" si="2"/>
        <v>Consumer</v>
      </c>
      <c r="D54" s="15" t="str">
        <f t="shared" si="2"/>
        <v>Denver</v>
      </c>
      <c r="E54" s="15" t="str">
        <f t="shared" si="2"/>
        <v>Colorado</v>
      </c>
      <c r="F54" s="15">
        <f t="shared" si="2"/>
        <v>80219</v>
      </c>
      <c r="G54" s="15" t="str">
        <f t="shared" si="2"/>
        <v>Furniture</v>
      </c>
      <c r="H54" s="15">
        <f t="shared" si="2"/>
        <v>218.75</v>
      </c>
    </row>
    <row r="55" spans="1:8" ht="15.75">
      <c r="A55" s="15" t="s">
        <v>65</v>
      </c>
      <c r="B55" s="15" t="str">
        <f t="shared" si="3"/>
        <v>Ryan Crowe</v>
      </c>
      <c r="C55" s="15" t="str">
        <f t="shared" si="2"/>
        <v>Consumer</v>
      </c>
      <c r="D55" s="15" t="str">
        <f t="shared" si="2"/>
        <v>Columbus</v>
      </c>
      <c r="E55" s="15" t="str">
        <f t="shared" si="2"/>
        <v>Ohio</v>
      </c>
      <c r="F55" s="15">
        <f t="shared" si="2"/>
        <v>43229</v>
      </c>
      <c r="G55" s="15" t="str">
        <f t="shared" si="2"/>
        <v>Office Supplies</v>
      </c>
      <c r="H55" s="15">
        <f t="shared" si="2"/>
        <v>40.096000000000004</v>
      </c>
    </row>
    <row r="56" spans="1:8" ht="15.75">
      <c r="A56" s="15" t="s">
        <v>65</v>
      </c>
      <c r="B56" s="15" t="str">
        <f t="shared" si="3"/>
        <v>Ryan Crowe</v>
      </c>
      <c r="C56" s="15" t="str">
        <f t="shared" si="2"/>
        <v>Consumer</v>
      </c>
      <c r="D56" s="15" t="str">
        <f t="shared" si="2"/>
        <v>Columbus</v>
      </c>
      <c r="E56" s="15" t="str">
        <f t="shared" si="2"/>
        <v>Ohio</v>
      </c>
      <c r="F56" s="15">
        <f t="shared" si="2"/>
        <v>43229</v>
      </c>
      <c r="G56" s="15" t="str">
        <f t="shared" si="2"/>
        <v>Office Supplies</v>
      </c>
      <c r="H56" s="15">
        <f t="shared" si="2"/>
        <v>40.096000000000004</v>
      </c>
    </row>
    <row r="57" spans="1:8" ht="15.75">
      <c r="A57" s="15" t="s">
        <v>65</v>
      </c>
      <c r="B57" s="15" t="str">
        <f t="shared" si="3"/>
        <v>Ryan Crowe</v>
      </c>
      <c r="C57" s="15" t="str">
        <f t="shared" si="2"/>
        <v>Consumer</v>
      </c>
      <c r="D57" s="15" t="str">
        <f t="shared" si="2"/>
        <v>Columbus</v>
      </c>
      <c r="E57" s="15" t="str">
        <f t="shared" si="2"/>
        <v>Ohio</v>
      </c>
      <c r="F57" s="15">
        <f t="shared" si="2"/>
        <v>43229</v>
      </c>
      <c r="G57" s="15" t="str">
        <f t="shared" si="2"/>
        <v>Office Supplies</v>
      </c>
      <c r="H57" s="15">
        <f t="shared" si="2"/>
        <v>40.096000000000004</v>
      </c>
    </row>
    <row r="58" spans="1:8" ht="15.75">
      <c r="A58" s="15" t="s">
        <v>65</v>
      </c>
      <c r="B58" s="15" t="str">
        <f t="shared" si="3"/>
        <v>Ryan Crowe</v>
      </c>
      <c r="C58" s="15" t="str">
        <f t="shared" si="2"/>
        <v>Consumer</v>
      </c>
      <c r="D58" s="15" t="str">
        <f t="shared" si="2"/>
        <v>Columbus</v>
      </c>
      <c r="E58" s="15" t="str">
        <f t="shared" si="2"/>
        <v>Ohio</v>
      </c>
      <c r="F58" s="15">
        <f t="shared" si="2"/>
        <v>43229</v>
      </c>
      <c r="G58" s="15" t="str">
        <f t="shared" si="2"/>
        <v>Office Supplies</v>
      </c>
      <c r="H58" s="15">
        <f t="shared" si="2"/>
        <v>40.096000000000004</v>
      </c>
    </row>
    <row r="59" spans="1:8" ht="15.75">
      <c r="A59" s="15" t="s">
        <v>71</v>
      </c>
      <c r="B59" s="15" t="str">
        <f t="shared" si="3"/>
        <v>Erin Ashbrook</v>
      </c>
      <c r="C59" s="15" t="str">
        <f t="shared" si="2"/>
        <v>Corporate</v>
      </c>
      <c r="D59" s="15" t="str">
        <f t="shared" si="2"/>
        <v>Charlotte</v>
      </c>
      <c r="E59" s="15" t="str">
        <f t="shared" si="2"/>
        <v>North Carolina</v>
      </c>
      <c r="F59" s="15">
        <f t="shared" si="2"/>
        <v>28205</v>
      </c>
      <c r="G59" s="15" t="str">
        <f t="shared" si="2"/>
        <v>Office Supplies</v>
      </c>
      <c r="H59" s="15">
        <f t="shared" si="2"/>
        <v>18.648000000000003</v>
      </c>
    </row>
    <row r="60" spans="1:8" ht="15.75">
      <c r="A60" s="15" t="s">
        <v>76</v>
      </c>
      <c r="B60" s="15" t="str">
        <f t="shared" si="3"/>
        <v>Jennifer Braxton</v>
      </c>
      <c r="C60" s="15" t="str">
        <f t="shared" si="2"/>
        <v>Corporate</v>
      </c>
      <c r="D60" s="15" t="str">
        <f t="shared" si="2"/>
        <v>Chicago</v>
      </c>
      <c r="E60" s="15" t="str">
        <f t="shared" si="2"/>
        <v>Illinois</v>
      </c>
      <c r="F60" s="15">
        <f t="shared" si="2"/>
        <v>60623</v>
      </c>
      <c r="G60" s="15" t="str">
        <f t="shared" si="2"/>
        <v>Office Supplies</v>
      </c>
      <c r="H60" s="15">
        <f t="shared" si="2"/>
        <v>52.447999999999993</v>
      </c>
    </row>
    <row r="61" spans="1:8" ht="15.75">
      <c r="A61" s="15" t="s">
        <v>76</v>
      </c>
      <c r="B61" s="15" t="str">
        <f t="shared" si="3"/>
        <v>Jennifer Braxton</v>
      </c>
      <c r="C61" s="15" t="str">
        <f t="shared" si="2"/>
        <v>Corporate</v>
      </c>
      <c r="D61" s="15" t="str">
        <f t="shared" si="2"/>
        <v>Chicago</v>
      </c>
      <c r="E61" s="15" t="str">
        <f t="shared" si="2"/>
        <v>Illinois</v>
      </c>
      <c r="F61" s="15">
        <f t="shared" si="2"/>
        <v>60623</v>
      </c>
      <c r="G61" s="15" t="str">
        <f t="shared" si="2"/>
        <v>Office Supplies</v>
      </c>
      <c r="H61" s="15">
        <f t="shared" si="2"/>
        <v>52.447999999999993</v>
      </c>
    </row>
    <row r="62" spans="1:8" ht="15.75">
      <c r="A62" s="15" t="s">
        <v>80</v>
      </c>
      <c r="B62" s="15" t="str">
        <f t="shared" si="3"/>
        <v>Philip Fox</v>
      </c>
      <c r="C62" s="15" t="str">
        <f t="shared" si="2"/>
        <v>Consumer</v>
      </c>
      <c r="D62" s="15" t="str">
        <f t="shared" si="2"/>
        <v>Bloomington</v>
      </c>
      <c r="E62" s="15" t="str">
        <f t="shared" si="2"/>
        <v>Illinois</v>
      </c>
      <c r="F62" s="15">
        <f t="shared" si="2"/>
        <v>61701</v>
      </c>
      <c r="G62" s="15" t="str">
        <f t="shared" si="2"/>
        <v>Furniture</v>
      </c>
      <c r="H62" s="15">
        <f t="shared" si="2"/>
        <v>617.70000000000005</v>
      </c>
    </row>
    <row r="63" spans="1:8" ht="15.75">
      <c r="A63" s="15" t="s">
        <v>83</v>
      </c>
      <c r="B63" s="15" t="str">
        <f t="shared" si="3"/>
        <v>Sue Ann Reed</v>
      </c>
      <c r="C63" s="15" t="str">
        <f t="shared" si="2"/>
        <v>Consumer</v>
      </c>
      <c r="D63" s="15" t="str">
        <f t="shared" si="2"/>
        <v>Chicago</v>
      </c>
      <c r="E63" s="15" t="str">
        <f t="shared" si="2"/>
        <v>Illinois</v>
      </c>
      <c r="F63" s="15">
        <f t="shared" si="2"/>
        <v>60610</v>
      </c>
      <c r="G63" s="15" t="str">
        <f t="shared" si="2"/>
        <v>Technology</v>
      </c>
      <c r="H63" s="15">
        <f t="shared" si="2"/>
        <v>2735.9520000000002</v>
      </c>
    </row>
    <row r="64" spans="1:8" ht="15.75">
      <c r="A64" s="15" t="s">
        <v>86</v>
      </c>
      <c r="B64" s="15" t="str">
        <f t="shared" si="3"/>
        <v>Nathan Gelder</v>
      </c>
      <c r="C64" s="15" t="str">
        <f t="shared" si="2"/>
        <v>Consumer</v>
      </c>
      <c r="D64" s="15" t="str">
        <f t="shared" si="2"/>
        <v>Cincinnati</v>
      </c>
      <c r="E64" s="15" t="str">
        <f t="shared" si="2"/>
        <v>Ohio</v>
      </c>
      <c r="F64" s="15">
        <f t="shared" si="2"/>
        <v>45231</v>
      </c>
      <c r="G64" s="15" t="str">
        <f t="shared" si="2"/>
        <v>Office Supplies</v>
      </c>
      <c r="H64" s="15">
        <f t="shared" si="2"/>
        <v>2.6240000000000001</v>
      </c>
    </row>
    <row r="65" spans="1:8" ht="15.75">
      <c r="A65" s="15" t="s">
        <v>89</v>
      </c>
      <c r="B65" s="15" t="str">
        <f t="shared" si="3"/>
        <v>David Kendrick</v>
      </c>
      <c r="C65" s="15" t="str">
        <f t="shared" si="2"/>
        <v>Corporate</v>
      </c>
      <c r="D65" s="15" t="str">
        <f t="shared" si="2"/>
        <v>Decatur</v>
      </c>
      <c r="E65" s="15" t="str">
        <f t="shared" si="2"/>
        <v>Illinois</v>
      </c>
      <c r="F65" s="15">
        <f t="shared" si="2"/>
        <v>62521</v>
      </c>
      <c r="G65" s="15" t="str">
        <f t="shared" si="2"/>
        <v>Office Supplies</v>
      </c>
      <c r="H65" s="15">
        <f t="shared" si="2"/>
        <v>24.816000000000003</v>
      </c>
    </row>
    <row r="67" spans="1:8">
      <c r="A67" s="17" t="s">
        <v>92</v>
      </c>
    </row>
    <row r="68" spans="1:8">
      <c r="A68" s="18" t="s">
        <v>93</v>
      </c>
      <c r="B68" s="18" t="s">
        <v>94</v>
      </c>
      <c r="C68" s="18" t="s">
        <v>95</v>
      </c>
    </row>
    <row r="69" spans="1:8">
      <c r="A69" s="19">
        <v>45172</v>
      </c>
      <c r="B69" s="20">
        <v>0.8652777777777777</v>
      </c>
      <c r="C69" s="21" t="s">
        <v>160</v>
      </c>
    </row>
    <row r="71" spans="1:8">
      <c r="A71" s="2" t="s">
        <v>96</v>
      </c>
      <c r="B71" s="2"/>
      <c r="C71" s="2"/>
    </row>
    <row r="72" spans="1:8" ht="15.75">
      <c r="A72" s="4" t="s">
        <v>97</v>
      </c>
      <c r="B72" s="4" t="s">
        <v>98</v>
      </c>
      <c r="C72" s="22" t="s">
        <v>99</v>
      </c>
    </row>
    <row r="73" spans="1:8" ht="15.75">
      <c r="A73" s="15" t="s">
        <v>83</v>
      </c>
      <c r="B73" s="1">
        <f>MATCH($A73,$A$53:$A$65,0)</f>
        <v>11</v>
      </c>
      <c r="C73" s="23"/>
    </row>
    <row r="74" spans="1:8" ht="15.75">
      <c r="A74" s="15" t="s">
        <v>89</v>
      </c>
      <c r="B74" s="1">
        <f t="shared" ref="B74:B80" si="4">MATCH($A74,$A$53:$A$65,0)</f>
        <v>13</v>
      </c>
      <c r="C74" s="23"/>
    </row>
    <row r="75" spans="1:8" ht="15.75">
      <c r="A75" s="15" t="s">
        <v>65</v>
      </c>
      <c r="B75" s="1">
        <f t="shared" si="4"/>
        <v>3</v>
      </c>
      <c r="C75" s="23"/>
    </row>
    <row r="76" spans="1:8" ht="15.75">
      <c r="A76" s="15" t="s">
        <v>55</v>
      </c>
      <c r="B76" s="1">
        <f t="shared" si="4"/>
        <v>1</v>
      </c>
      <c r="C76" s="23"/>
    </row>
    <row r="77" spans="1:8" ht="15.75">
      <c r="A77" s="15" t="s">
        <v>69</v>
      </c>
      <c r="B77" s="1" t="e">
        <f t="shared" si="4"/>
        <v>#N/A</v>
      </c>
      <c r="C77" s="23"/>
    </row>
    <row r="78" spans="1:8" ht="15.75">
      <c r="A78" s="15" t="s">
        <v>86</v>
      </c>
      <c r="B78" s="1">
        <f t="shared" si="4"/>
        <v>12</v>
      </c>
      <c r="C78" s="23"/>
    </row>
    <row r="79" spans="1:8" ht="15.75">
      <c r="A79" s="15" t="s">
        <v>61</v>
      </c>
      <c r="B79" s="1">
        <f t="shared" si="4"/>
        <v>2</v>
      </c>
      <c r="C79" s="23"/>
    </row>
    <row r="80" spans="1:8" ht="15.75">
      <c r="A80" s="15" t="s">
        <v>83</v>
      </c>
      <c r="B80" s="1">
        <f t="shared" si="4"/>
        <v>11</v>
      </c>
      <c r="C80" s="23"/>
    </row>
    <row r="83" spans="1:7" ht="15.75">
      <c r="A83" s="24" t="s">
        <v>100</v>
      </c>
      <c r="B83" s="25"/>
      <c r="C83" s="25"/>
      <c r="D83" s="25"/>
      <c r="E83" s="25"/>
      <c r="F83" s="25"/>
      <c r="G83" s="25"/>
    </row>
    <row r="84" spans="1:7" ht="15.75">
      <c r="A84" s="24"/>
      <c r="B84" s="25"/>
      <c r="C84" s="25"/>
      <c r="D84" s="25"/>
      <c r="E84" s="25"/>
      <c r="F84" s="25"/>
      <c r="G84" s="25"/>
    </row>
    <row r="85" spans="1:7">
      <c r="A85" s="26" t="s">
        <v>101</v>
      </c>
    </row>
    <row r="86" spans="1:7" ht="15.75">
      <c r="A86" s="27" t="s">
        <v>102</v>
      </c>
    </row>
    <row r="87" spans="1:7">
      <c r="A87" s="1" t="s">
        <v>161</v>
      </c>
      <c r="B87" t="s">
        <v>103</v>
      </c>
      <c r="C87" t="s">
        <v>127</v>
      </c>
    </row>
    <row r="88" spans="1:7">
      <c r="A88" s="1" t="s">
        <v>162</v>
      </c>
      <c r="B88" t="s">
        <v>104</v>
      </c>
      <c r="C88" t="s">
        <v>116</v>
      </c>
    </row>
    <row r="89" spans="1:7">
      <c r="A89" s="1" t="s">
        <v>163</v>
      </c>
      <c r="B89" t="s">
        <v>105</v>
      </c>
      <c r="C89" t="s">
        <v>130</v>
      </c>
    </row>
    <row r="90" spans="1:7">
      <c r="A90" s="1" t="s">
        <v>164</v>
      </c>
      <c r="B90" t="s">
        <v>106</v>
      </c>
      <c r="C90" t="s">
        <v>120</v>
      </c>
    </row>
    <row r="91" spans="1:7">
      <c r="A91" s="1" t="s">
        <v>165</v>
      </c>
      <c r="B91" t="s">
        <v>104</v>
      </c>
      <c r="C91" t="s">
        <v>116</v>
      </c>
    </row>
    <row r="92" spans="1:7">
      <c r="A92" s="1" t="s">
        <v>166</v>
      </c>
      <c r="B92" t="s">
        <v>107</v>
      </c>
      <c r="C92" t="s">
        <v>123</v>
      </c>
    </row>
    <row r="93" spans="1:7">
      <c r="A93" s="1" t="s">
        <v>167</v>
      </c>
      <c r="B93" t="s">
        <v>168</v>
      </c>
      <c r="C93" t="s">
        <v>169</v>
      </c>
    </row>
    <row r="94" spans="1:7">
      <c r="A94" s="1" t="s">
        <v>170</v>
      </c>
      <c r="B94" t="s">
        <v>168</v>
      </c>
      <c r="C94" t="s">
        <v>169</v>
      </c>
    </row>
    <row r="95" spans="1:7">
      <c r="A95" s="1" t="s">
        <v>171</v>
      </c>
      <c r="B95" t="s">
        <v>172</v>
      </c>
      <c r="C95" t="s">
        <v>173</v>
      </c>
    </row>
    <row r="96" spans="1:7">
      <c r="A96" s="1" t="s">
        <v>174</v>
      </c>
      <c r="B96" t="s">
        <v>104</v>
      </c>
      <c r="C96" t="s">
        <v>116</v>
      </c>
    </row>
    <row r="98" spans="1:12">
      <c r="A98" t="s">
        <v>108</v>
      </c>
    </row>
    <row r="99" spans="1:12">
      <c r="A99" t="s">
        <v>109</v>
      </c>
    </row>
    <row r="100" spans="1:12">
      <c r="A100" t="s">
        <v>110</v>
      </c>
    </row>
    <row r="101" spans="1:12" ht="15.75">
      <c r="A101" s="29" t="s">
        <v>111</v>
      </c>
      <c r="B101" s="29" t="s">
        <v>112</v>
      </c>
      <c r="C101" s="29" t="s">
        <v>48</v>
      </c>
      <c r="D101" s="29" t="s">
        <v>49</v>
      </c>
      <c r="E101" s="30" t="s">
        <v>50</v>
      </c>
      <c r="F101" s="29" t="s">
        <v>51</v>
      </c>
      <c r="G101" s="29" t="s">
        <v>52</v>
      </c>
      <c r="H101" s="29" t="s">
        <v>15</v>
      </c>
      <c r="I101" s="29" t="s">
        <v>16</v>
      </c>
      <c r="J101" s="29" t="s">
        <v>15</v>
      </c>
      <c r="K101" s="31" t="s">
        <v>113</v>
      </c>
      <c r="L101" s="32" t="s">
        <v>114</v>
      </c>
    </row>
    <row r="102" spans="1:12">
      <c r="A102" s="5">
        <v>6100</v>
      </c>
      <c r="B102" s="5" t="s">
        <v>104</v>
      </c>
      <c r="C102" s="5" t="s">
        <v>115</v>
      </c>
      <c r="D102" s="5" t="s">
        <v>116</v>
      </c>
      <c r="E102" s="5" t="s">
        <v>57</v>
      </c>
      <c r="F102" s="5" t="s">
        <v>117</v>
      </c>
      <c r="G102" s="5" t="s">
        <v>118</v>
      </c>
      <c r="H102" s="5" t="s">
        <v>60</v>
      </c>
      <c r="I102" s="5">
        <v>2888.1270000000004</v>
      </c>
      <c r="J102" s="33" t="str">
        <f>IF(I102&lt;1200,"A","B")</f>
        <v>B</v>
      </c>
      <c r="K102" s="28" t="b">
        <f>OR(E102="HOME OFFICE",H102="TECHNOLOGY")</f>
        <v>0</v>
      </c>
      <c r="L102" s="28" t="str">
        <f>IF(E102="consumer",IF(H102="technology","t",IF(H102="furniture","f","o"))," ")</f>
        <v>f</v>
      </c>
    </row>
    <row r="103" spans="1:12">
      <c r="A103" s="5">
        <v>6117</v>
      </c>
      <c r="B103" s="5" t="s">
        <v>106</v>
      </c>
      <c r="C103" s="5" t="s">
        <v>119</v>
      </c>
      <c r="D103" s="5" t="s">
        <v>120</v>
      </c>
      <c r="E103" s="5" t="s">
        <v>121</v>
      </c>
      <c r="F103" s="5" t="s">
        <v>117</v>
      </c>
      <c r="G103" s="5" t="s">
        <v>118</v>
      </c>
      <c r="H103" s="5" t="s">
        <v>85</v>
      </c>
      <c r="I103" s="5">
        <v>2279.96</v>
      </c>
      <c r="J103" s="33" t="str">
        <f t="shared" ref="J103:J116" si="5">IF(I103&lt;1200,"A","B")</f>
        <v>B</v>
      </c>
      <c r="K103" s="28" t="b">
        <f t="shared" ref="K103:K116" si="6">OR(E103="HOME OFFICE",H103="TECHNOLOGY")</f>
        <v>1</v>
      </c>
      <c r="L103" s="28" t="str">
        <f t="shared" ref="L103:L116" si="7">IF(E103="consumer",IF(H103="technology","t",IF(H103="furniture","f","o"))," ")</f>
        <v xml:space="preserve"> </v>
      </c>
    </row>
    <row r="104" spans="1:12">
      <c r="A104" s="5">
        <v>6176</v>
      </c>
      <c r="B104" s="5" t="s">
        <v>107</v>
      </c>
      <c r="C104" s="5" t="s">
        <v>122</v>
      </c>
      <c r="D104" s="5" t="s">
        <v>123</v>
      </c>
      <c r="E104" s="5" t="s">
        <v>57</v>
      </c>
      <c r="F104" s="5" t="s">
        <v>124</v>
      </c>
      <c r="G104" s="5" t="s">
        <v>125</v>
      </c>
      <c r="H104" s="5" t="s">
        <v>60</v>
      </c>
      <c r="I104" s="5">
        <v>1690.04</v>
      </c>
      <c r="J104" s="33" t="str">
        <f t="shared" si="5"/>
        <v>B</v>
      </c>
      <c r="K104" s="28" t="b">
        <f t="shared" si="6"/>
        <v>0</v>
      </c>
      <c r="L104" s="28" t="str">
        <f t="shared" si="7"/>
        <v>f</v>
      </c>
    </row>
    <row r="105" spans="1:12">
      <c r="A105" s="5">
        <v>6102</v>
      </c>
      <c r="B105" s="5" t="s">
        <v>104</v>
      </c>
      <c r="C105" s="5" t="s">
        <v>115</v>
      </c>
      <c r="D105" s="5" t="s">
        <v>116</v>
      </c>
      <c r="E105" s="5" t="s">
        <v>57</v>
      </c>
      <c r="F105" s="5" t="s">
        <v>117</v>
      </c>
      <c r="G105" s="5" t="s">
        <v>118</v>
      </c>
      <c r="H105" s="5" t="s">
        <v>60</v>
      </c>
      <c r="I105" s="5">
        <v>2254.41</v>
      </c>
      <c r="J105" s="33" t="str">
        <f t="shared" si="5"/>
        <v>B</v>
      </c>
      <c r="K105" s="28" t="b">
        <f t="shared" si="6"/>
        <v>0</v>
      </c>
      <c r="L105" s="28" t="str">
        <f t="shared" si="7"/>
        <v>f</v>
      </c>
    </row>
    <row r="106" spans="1:12">
      <c r="A106" s="5">
        <v>6015</v>
      </c>
      <c r="B106" s="5" t="s">
        <v>103</v>
      </c>
      <c r="C106" s="5" t="s">
        <v>126</v>
      </c>
      <c r="D106" s="5" t="s">
        <v>127</v>
      </c>
      <c r="E106" s="5" t="s">
        <v>121</v>
      </c>
      <c r="F106" s="5" t="s">
        <v>128</v>
      </c>
      <c r="G106" s="5" t="s">
        <v>59</v>
      </c>
      <c r="H106" s="5" t="s">
        <v>85</v>
      </c>
      <c r="I106" s="5">
        <v>4158.9120000000003</v>
      </c>
      <c r="J106" s="33" t="str">
        <f t="shared" si="5"/>
        <v>B</v>
      </c>
      <c r="K106" s="28" t="b">
        <f t="shared" si="6"/>
        <v>1</v>
      </c>
      <c r="L106" s="28" t="str">
        <f t="shared" si="7"/>
        <v xml:space="preserve"> </v>
      </c>
    </row>
    <row r="107" spans="1:12">
      <c r="A107" s="5">
        <v>6101</v>
      </c>
      <c r="B107" s="5" t="s">
        <v>104</v>
      </c>
      <c r="C107" s="5" t="s">
        <v>115</v>
      </c>
      <c r="D107" s="5" t="s">
        <v>116</v>
      </c>
      <c r="E107" s="5" t="s">
        <v>57</v>
      </c>
      <c r="F107" s="5" t="s">
        <v>117</v>
      </c>
      <c r="G107" s="5" t="s">
        <v>118</v>
      </c>
      <c r="H107" s="5" t="s">
        <v>85</v>
      </c>
      <c r="I107" s="5">
        <v>1299.6600000000001</v>
      </c>
      <c r="J107" s="33" t="str">
        <f t="shared" si="5"/>
        <v>B</v>
      </c>
      <c r="K107" s="28" t="b">
        <f t="shared" si="6"/>
        <v>1</v>
      </c>
      <c r="L107" s="28" t="str">
        <f t="shared" si="7"/>
        <v>t</v>
      </c>
    </row>
    <row r="108" spans="1:12">
      <c r="A108" s="5">
        <v>6011</v>
      </c>
      <c r="B108" s="5" t="s">
        <v>105</v>
      </c>
      <c r="C108" s="5" t="s">
        <v>129</v>
      </c>
      <c r="D108" s="5" t="s">
        <v>130</v>
      </c>
      <c r="E108" s="5" t="s">
        <v>57</v>
      </c>
      <c r="F108" s="5" t="s">
        <v>128</v>
      </c>
      <c r="G108" s="5" t="s">
        <v>59</v>
      </c>
      <c r="H108" s="5" t="s">
        <v>85</v>
      </c>
      <c r="I108" s="5">
        <v>2548.5600000000004</v>
      </c>
      <c r="J108" s="33" t="str">
        <f t="shared" si="5"/>
        <v>B</v>
      </c>
      <c r="K108" s="28" t="b">
        <f t="shared" si="6"/>
        <v>1</v>
      </c>
      <c r="L108" s="28" t="str">
        <f t="shared" si="7"/>
        <v>t</v>
      </c>
    </row>
    <row r="109" spans="1:12">
      <c r="A109" s="5">
        <v>6175</v>
      </c>
      <c r="B109" s="5" t="s">
        <v>131</v>
      </c>
      <c r="C109" s="5" t="s">
        <v>132</v>
      </c>
      <c r="D109" s="5" t="s">
        <v>133</v>
      </c>
      <c r="E109" s="5" t="s">
        <v>121</v>
      </c>
      <c r="F109" s="5" t="s">
        <v>134</v>
      </c>
      <c r="G109" s="5" t="s">
        <v>135</v>
      </c>
      <c r="H109" s="5" t="s">
        <v>19</v>
      </c>
      <c r="I109" s="5">
        <v>838.38</v>
      </c>
      <c r="J109" s="33" t="str">
        <f t="shared" si="5"/>
        <v>A</v>
      </c>
      <c r="K109" s="28" t="b">
        <f t="shared" si="6"/>
        <v>1</v>
      </c>
      <c r="L109" s="28" t="str">
        <f t="shared" si="7"/>
        <v xml:space="preserve"> </v>
      </c>
    </row>
    <row r="110" spans="1:12">
      <c r="A110" s="5">
        <v>6063</v>
      </c>
      <c r="B110" s="5" t="s">
        <v>136</v>
      </c>
      <c r="C110" s="5" t="s">
        <v>69</v>
      </c>
      <c r="D110" s="5" t="s">
        <v>70</v>
      </c>
      <c r="E110" s="5" t="s">
        <v>57</v>
      </c>
      <c r="F110" s="5" t="s">
        <v>137</v>
      </c>
      <c r="G110" s="5" t="s">
        <v>59</v>
      </c>
      <c r="H110" s="5" t="s">
        <v>85</v>
      </c>
      <c r="I110" s="5">
        <v>1199.96</v>
      </c>
      <c r="J110" s="33" t="str">
        <f t="shared" si="5"/>
        <v>A</v>
      </c>
      <c r="K110" s="28" t="b">
        <f t="shared" si="6"/>
        <v>1</v>
      </c>
      <c r="L110" s="28" t="str">
        <f t="shared" si="7"/>
        <v>t</v>
      </c>
    </row>
    <row r="111" spans="1:12">
      <c r="A111" s="5">
        <v>6191</v>
      </c>
      <c r="B111" s="5" t="s">
        <v>138</v>
      </c>
      <c r="C111" s="5" t="s">
        <v>139</v>
      </c>
      <c r="D111" s="5" t="s">
        <v>140</v>
      </c>
      <c r="E111" s="5" t="s">
        <v>57</v>
      </c>
      <c r="F111" s="5" t="s">
        <v>117</v>
      </c>
      <c r="G111" s="5" t="s">
        <v>118</v>
      </c>
      <c r="H111" s="5" t="s">
        <v>60</v>
      </c>
      <c r="I111" s="5">
        <v>799.56000000000006</v>
      </c>
      <c r="J111" s="33" t="str">
        <f t="shared" si="5"/>
        <v>A</v>
      </c>
      <c r="K111" s="28" t="b">
        <f t="shared" si="6"/>
        <v>0</v>
      </c>
      <c r="L111" s="28" t="str">
        <f t="shared" si="7"/>
        <v>f</v>
      </c>
    </row>
    <row r="112" spans="1:12">
      <c r="A112" s="5">
        <v>6077</v>
      </c>
      <c r="B112" s="5" t="s">
        <v>141</v>
      </c>
      <c r="C112" s="5" t="s">
        <v>142</v>
      </c>
      <c r="D112" s="5" t="s">
        <v>143</v>
      </c>
      <c r="E112" s="5" t="s">
        <v>57</v>
      </c>
      <c r="F112" s="5" t="s">
        <v>117</v>
      </c>
      <c r="G112" s="5" t="s">
        <v>118</v>
      </c>
      <c r="H112" s="5" t="s">
        <v>85</v>
      </c>
      <c r="I112" s="5">
        <v>468.90000000000003</v>
      </c>
      <c r="J112" s="33" t="str">
        <f t="shared" si="5"/>
        <v>A</v>
      </c>
      <c r="K112" s="28" t="b">
        <f t="shared" si="6"/>
        <v>1</v>
      </c>
      <c r="L112" s="28" t="str">
        <f t="shared" si="7"/>
        <v>t</v>
      </c>
    </row>
    <row r="113" spans="1:12">
      <c r="A113" s="5">
        <v>6042</v>
      </c>
      <c r="B113" s="5" t="s">
        <v>144</v>
      </c>
      <c r="C113" s="5" t="s">
        <v>145</v>
      </c>
      <c r="D113" s="5" t="s">
        <v>146</v>
      </c>
      <c r="E113" s="5" t="s">
        <v>73</v>
      </c>
      <c r="F113" s="5" t="s">
        <v>128</v>
      </c>
      <c r="G113" s="5" t="s">
        <v>59</v>
      </c>
      <c r="H113" s="5" t="s">
        <v>85</v>
      </c>
      <c r="I113" s="5">
        <v>506.28</v>
      </c>
      <c r="J113" s="33" t="str">
        <f t="shared" si="5"/>
        <v>A</v>
      </c>
      <c r="K113" s="28" t="b">
        <f t="shared" si="6"/>
        <v>1</v>
      </c>
      <c r="L113" s="28" t="str">
        <f t="shared" si="7"/>
        <v xml:space="preserve"> </v>
      </c>
    </row>
    <row r="114" spans="1:12">
      <c r="A114" s="5">
        <v>6181</v>
      </c>
      <c r="B114" s="5" t="s">
        <v>107</v>
      </c>
      <c r="C114" s="5" t="s">
        <v>122</v>
      </c>
      <c r="D114" s="5" t="s">
        <v>123</v>
      </c>
      <c r="E114" s="5" t="s">
        <v>57</v>
      </c>
      <c r="F114" s="5" t="s">
        <v>124</v>
      </c>
      <c r="G114" s="5" t="s">
        <v>125</v>
      </c>
      <c r="H114" s="5" t="s">
        <v>85</v>
      </c>
      <c r="I114" s="5">
        <v>629.94999999999993</v>
      </c>
      <c r="J114" s="33" t="str">
        <f t="shared" si="5"/>
        <v>A</v>
      </c>
      <c r="K114" s="28" t="b">
        <f t="shared" si="6"/>
        <v>1</v>
      </c>
      <c r="L114" s="28" t="str">
        <f t="shared" si="7"/>
        <v>t</v>
      </c>
    </row>
    <row r="115" spans="1:12">
      <c r="A115" s="5">
        <v>6047</v>
      </c>
      <c r="B115" s="5" t="s">
        <v>147</v>
      </c>
      <c r="C115" s="5" t="s">
        <v>148</v>
      </c>
      <c r="D115" s="5" t="s">
        <v>149</v>
      </c>
      <c r="E115" s="5" t="s">
        <v>121</v>
      </c>
      <c r="F115" s="5" t="s">
        <v>150</v>
      </c>
      <c r="G115" s="5" t="s">
        <v>151</v>
      </c>
      <c r="H115" s="5" t="s">
        <v>60</v>
      </c>
      <c r="I115" s="5">
        <v>692.93999999999994</v>
      </c>
      <c r="J115" s="33" t="str">
        <f t="shared" si="5"/>
        <v>A</v>
      </c>
      <c r="K115" s="28" t="b">
        <f t="shared" si="6"/>
        <v>1</v>
      </c>
      <c r="L115" s="28" t="str">
        <f t="shared" si="7"/>
        <v xml:space="preserve"> </v>
      </c>
    </row>
    <row r="116" spans="1:12">
      <c r="A116" s="5">
        <v>6132</v>
      </c>
      <c r="B116" s="5" t="s">
        <v>152</v>
      </c>
      <c r="C116" s="5" t="s">
        <v>153</v>
      </c>
      <c r="D116" s="5" t="s">
        <v>154</v>
      </c>
      <c r="E116" s="5" t="s">
        <v>121</v>
      </c>
      <c r="F116" s="5" t="s">
        <v>117</v>
      </c>
      <c r="G116" s="5" t="s">
        <v>118</v>
      </c>
      <c r="H116" s="5" t="s">
        <v>60</v>
      </c>
      <c r="I116" s="5">
        <v>767.21400000000006</v>
      </c>
      <c r="J116" s="33" t="str">
        <f t="shared" si="5"/>
        <v>A</v>
      </c>
      <c r="K116" s="28" t="b">
        <f t="shared" si="6"/>
        <v>1</v>
      </c>
      <c r="L116" s="28" t="str">
        <f t="shared" si="7"/>
        <v xml:space="preserve"> </v>
      </c>
    </row>
    <row r="118" spans="1:12">
      <c r="A118" t="s">
        <v>155</v>
      </c>
    </row>
    <row r="120" spans="1:12">
      <c r="A120" t="s">
        <v>156</v>
      </c>
    </row>
    <row r="121" spans="1:12">
      <c r="A121" t="s">
        <v>157</v>
      </c>
    </row>
    <row r="122" spans="1:12">
      <c r="A122" t="s">
        <v>158</v>
      </c>
    </row>
    <row r="123" spans="1:12">
      <c r="A123" t="s">
        <v>159</v>
      </c>
    </row>
  </sheetData>
  <dataValidations count="1">
    <dataValidation type="list" allowBlank="1" showInputMessage="1" showErrorMessage="1" sqref="F4">
      <formula1>$A$4:$A$13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</vt:lpstr>
      <vt:lpstr>Assignment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Saxena</dc:creator>
  <cp:lastModifiedBy>comp</cp:lastModifiedBy>
  <dcterms:created xsi:type="dcterms:W3CDTF">2025-11-10T01:44:17Z</dcterms:created>
  <dcterms:modified xsi:type="dcterms:W3CDTF">2025-11-16T15:38:59Z</dcterms:modified>
</cp:coreProperties>
</file>